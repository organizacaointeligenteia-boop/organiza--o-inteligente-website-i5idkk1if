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884a1ce11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ce Aqui" sheetId="1" r:id="R7f076dfc03764bf5"/>
    <x:sheet xmlns:r="http://schemas.openxmlformats.org/officeDocument/2006/relationships" name="Configuração" sheetId="2" r:id="R5e988851823f41f6"/>
    <x:sheet xmlns:r="http://schemas.openxmlformats.org/officeDocument/2006/relationships" name="Registro 8 Semanas" sheetId="3" r:id="Re68229adcd864eb8"/>
    <x:sheet xmlns:r="http://schemas.openxmlformats.org/officeDocument/2006/relationships" name="Painel" sheetId="4" r:id="R0608ef93d8db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dd/mm"/>
    <x:numFmt numFmtId="202" formatCode="0%"/>
    <x:numFmt numFmtId="203" formatCode="0"/>
  </x:numFmts>
  <x:fonts count="14">
    <x:font>
      <x:sz val="11"/>
      <x:name val="Carlito"/>
    </x:font>
    <x:font>
      <x:b/>
      <x:sz val="20"/>
      <x:color rgb="FFFFFFFF"/>
      <x:name val="Carlito"/>
    </x:font>
    <x:font>
      <x:sz val="10"/>
      <x:color rgb="FF173B63"/>
      <x:name val="Carlito"/>
    </x:font>
    <x:font>
      <x:b/>
      <x:sz val="11"/>
      <x:color rgb="FF14966F"/>
      <x:name val="Carlito"/>
    </x:font>
    <x:font>
      <x:b/>
      <x:sz val="12"/>
      <x:color rgb="FFFFFFFF"/>
      <x:name val="Carlito"/>
    </x:font>
    <x:font>
      <x:b/>
      <x:sz val="10"/>
      <x:color rgb="FF173B63"/>
      <x:name val="Carlito"/>
    </x:font>
    <x:font>
      <x:sz val="9"/>
      <x:color rgb="FF131820"/>
      <x:name val="Carlito"/>
    </x:font>
    <x:font>
      <x:b/>
      <x:sz val="10"/>
      <x:color rgb="FF14966F"/>
      <x:name val="Carlito"/>
    </x:font>
    <x:font>
      <x:b/>
      <x:sz val="9"/>
      <x:color rgb="FFFFFFFF"/>
      <x:name val="Carlito"/>
    </x:font>
    <x:font>
      <x:sz val="11"/>
      <x:color rgb="FF131820"/>
      <x:name val="Carlito"/>
    </x:font>
    <x:font>
      <x:b/>
      <x:sz val="11"/>
      <x:color rgb="FF131820"/>
      <x:name val="Carlito"/>
    </x:font>
    <x:font>
      <x:sz val="8"/>
      <x:color rgb="FF5E6B78"/>
      <x:name val="Carlito"/>
    </x:font>
    <x:font>
      <x:b/>
      <x:sz val="11"/>
      <x:color rgb="FF173B63"/>
      <x:name val="Carlito"/>
    </x:font>
    <x:font>
      <x:b/>
      <x:sz val="14"/>
      <x:color rgb="FF14966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EAF2FA"/>
      </x:patternFill>
    </x:fill>
    <x:fill>
      <x:patternFill patternType="solid">
        <x:fgColor rgb="FF265C97"/>
      </x:patternFill>
    </x:fill>
    <x:fill>
      <x:patternFill patternType="solid">
        <x:fgColor rgb="FFF8FAFC"/>
      </x:patternFill>
    </x:fill>
    <x:fill>
      <x:patternFill patternType="solid">
        <x:fgColor rgb="FFE8F6F1"/>
      </x:patternFill>
    </x:fill>
    <x:fill>
      <x:patternFill patternType="solid">
        <x:fgColor rgb="FFFFF7DC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bottom style="thin">
        <x:color rgb="FFD6E0EA"/>
      </x:bottom>
    </x:border>
    <x:border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D6E0EA"/>
      </x:left>
      <x:top style="thin">
        <x:color rgb="FFD6E0EA"/>
      </x:top>
      <x:bottom style="thin">
        <x:color rgb="FFD6E0EA"/>
      </x:bottom>
    </x:border>
    <x:border>
      <x:right style="thin">
        <x:color rgb="FFD6E0EA"/>
      </x:right>
      <x:top style="thin">
        <x:color rgb="FFD6E0EA"/>
      </x:top>
    </x:border>
    <x:border>
      <x:left style="thin">
        <x:color rgb="FFD6E0EA"/>
      </x:left>
      <x:right style="thin">
        <x:color rgb="FFD6E0EA"/>
      </x:right>
      <x:top style="thin">
        <x:color rgb="FFD6E0EA"/>
      </x:top>
    </x:border>
    <x:border>
      <x:left style="thin">
        <x:color rgb="FFD6E0EA"/>
      </x:left>
      <x:top style="thin">
        <x:color rgb="FFD6E0EA"/>
      </x:top>
    </x:border>
    <x:border>
      <x:left style="thin">
        <x:color rgb="FF173B63"/>
      </x:left>
      <x:top style="thin">
        <x:color rgb="FF173B63"/>
      </x:top>
      <x:bottom style="thin">
        <x:color rgb="FF173B63"/>
      </x:bottom>
    </x:border>
    <x:border>
      <x:right style="thin">
        <x:color rgb="FF173B63"/>
      </x:right>
      <x:top style="thin">
        <x:color rgb="FF173B63"/>
      </x:top>
      <x:bottom style="thin">
        <x:color rgb="FF173B63"/>
      </x:bottom>
    </x:border>
    <x:border>
      <x:top style="thin">
        <x:color rgb="FF173B63"/>
      </x:top>
      <x:bottom style="thin">
        <x:color rgb="FF173B63"/>
      </x:bottom>
    </x:border>
    <x:border>
      <x:bottom style="thin">
        <x:color rgb="FFD6E0EA"/>
      </x:bottom>
    </x:border>
    <x:border>
      <x:top style="thin">
        <x:color rgb="FFD6E0EA"/>
      </x:top>
      <x:bottom style="thin">
        <x:color rgb="FFD6E0EA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0" xfId="0" applyNumberFormat="1" applyFont="1" applyFill="1" applyBorder="1"/>
    <x:xf numFmtId="0" fontId="8" fillId="4" borderId="11" xfId="0" applyNumberFormat="1" applyFont="1" applyFill="1" applyBorder="1"/>
    <x:xf numFmtId="0" fontId="8" fillId="4" borderId="10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horizontal="center" wrapText="1"/>
    </x:xf>
    <x:xf numFmtId="0" fontId="8" fillId="4" borderId="11" xfId="0" applyNumberFormat="1" applyFont="1" applyFill="1" applyBorder="1" applyAlignment="1">
      <x:alignment horizont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200" fontId="9" fillId="7" borderId="0" xfId="0" applyNumberFormat="1" applyFont="1" applyFill="1" applyBorder="1"/>
    <x:xf numFmtId="0" fontId="8" fillId="4" borderId="12" xfId="0" applyNumberFormat="1" applyFont="1" applyFill="1" applyBorder="1"/>
    <x:xf numFmtId="0" fontId="8" fillId="4" borderId="12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horizontal="center" wrapText="1"/>
    </x:xf>
    <x:xf numFmtId="0" fontId="8" fillId="4" borderId="12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/>
    <x:xf numFmtId="0" fontId="9" fillId="7" borderId="2" xfId="0" applyNumberFormat="1" applyFont="1" applyFill="1" applyBorder="1"/>
    <x:xf numFmtId="0" fontId="9" fillId="7" borderId="3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9" fillId="7" borderId="0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wrapText="1"/>
    </x:xf>
    <x:xf numFmtId="0" fontId="9" fillId="7" borderId="3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5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9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5" xfId="0" applyNumberFormat="1" applyFont="1" applyFill="1" applyBorder="1"/>
    <x:xf numFmtId="0" fontId="10" fillId="8" borderId="5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 vertic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horizontal="center"/>
    </x:xf>
    <x:xf numFmtId="202" fontId="13" fillId="6" borderId="0" xfId="0" applyNumberFormat="1" applyFont="1" applyFill="1" applyBorder="1" applyAlignment="1">
      <x:alignment horizontal="center"/>
    </x:xf>
    <x:xf numFmtId="203" fontId="13" fillId="6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3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202" fontId="6" fillId="0" borderId="13" xfId="0" applyNumberFormat="1" applyFont="1" applyFill="1" applyBorder="1" applyAlignment="1">
      <x:alignment vertical="center"/>
    </x:xf>
    <x:xf numFmtId="202" fontId="6" fillId="0" borderId="1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3" xfId="0" applyNumberFormat="1" applyFont="1" applyFill="1" applyBorder="1"/>
    <x:xf numFmtId="202" fontId="6" fillId="0" borderId="14" xfId="0" applyNumberFormat="1" applyFont="1" applyFill="1" applyBorder="1"/>
  </x:cellXfs>
  <x:cellStyles count="1">
    <x:cellStyle name="Normal" xfId="0"/>
  </x:cellStyles>
  <x:dxfs count="2">
    <x:dxf>
      <x:font>
        <x:b/>
        <x:color rgb="FF14966F"/>
      </x:font>
      <x:fill>
        <x:patternFill patternType="solid">
          <x:bgColor rgb="FFE8F6F1"/>
        </x:patternFill>
      </x:fill>
    </x:dxf>
    <x:dxf>
      <x:font>
        <x:color rgb="FFB44747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5500204774e61" /><Relationship Type="http://schemas.openxmlformats.org/officeDocument/2006/relationships/theme" Target="/xl/theme/theme1.xml" Id="R4551233ab33d492b" /><Relationship Type="http://schemas.openxmlformats.org/officeDocument/2006/relationships/sharedStrings" Target="/xl/sharedStrings.xml" Id="R547a639deccd4942" /><Relationship Type="http://schemas.openxmlformats.org/officeDocument/2006/relationships/worksheet" Target="/xl/worksheets/sheet1.xml" Id="R7f076dfc03764bf5" /><Relationship Type="http://schemas.openxmlformats.org/officeDocument/2006/relationships/worksheet" Target="/xl/worksheets/sheet2.xml" Id="R5e988851823f41f6" /><Relationship Type="http://schemas.openxmlformats.org/officeDocument/2006/relationships/worksheet" Target="/xl/worksheets/sheet3.xml" Id="Re68229adcd864eb8" /><Relationship Type="http://schemas.openxmlformats.org/officeDocument/2006/relationships/worksheet" Target="/xl/worksheets/sheet4.xml" Id="R0608ef93d8db4a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1dccca00ad45a4" /><Relationship Type="http://schemas.openxmlformats.org/officeDocument/2006/relationships/chart" Target="/xl/drawings/charts/chart2.xml" Id="Ree2cfb15e44d4b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Consistência por hábito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Consistência</c:v>
          </c:tx>
          <c:cat>
            <c:strRef>
              <c:f>'Painel'!$K$11:$K$16</c:f>
              <c:strCache>
                <c:ptCount val="0"/>
              </c:strCache>
            </c:strRef>
          </c:cat>
          <c:val>
            <c:numRef>
              <c:f>'Painel'!$L$11:$L$16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semanal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Consistência</c:v>
          </c:tx>
          <c:marker>
            <c:symbol val="none"/>
          </c:marker>
          <c:cat>
            <c:strRef>
              <c:f>'Painel'!$F$11:$F$18</c:f>
              <c:strCache>
                <c:ptCount val="0"/>
              </c:strCache>
            </c:strRef>
          </c:cat>
          <c:val>
            <c:numRef>
              <c:f>'Painel'!$G$11:$G$18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1dccca00ad45a4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2cfb15e44d4b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3116948640141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8" customHeight="1">
      <x:c r="A1" s="4" t="str">
        <x:v>Planilha de Hábitos - 8 semanas</x:v>
      </x:c>
      <x:c r="B1" s="4" t="str">
        <x:v>Planilha de Hábitos - 8 semanas</x:v>
      </x:c>
      <x:c r="C1" s="4" t="str">
        <x:v>Planilha de Hábitos - 8 semanas</x:v>
      </x:c>
      <x:c r="D1" s="4" t="str">
        <x:v>Planilha de Hábitos - 8 semanas</x:v>
      </x:c>
      <x:c r="E1" s="4" t="str">
        <x:v>Planilha de Hábitos - 8 semanas</x:v>
      </x:c>
      <x:c r="F1" s="4" t="str">
        <x:v>Planilha de Hábitos - 8 semanas</x:v>
      </x:c>
      <x:c r="G1" s="4" t="str">
        <x:v>Planilha de Hábitos - 8 semanas</x:v>
      </x:c>
      <x:c r="H1" s="4" t="str">
        <x:v>Planilha de Hábitos - 8 semanas</x:v>
      </x:c>
    </x:row>
    <x:row r="2" ht="38" customHeight="1">
      <x:c r="A2" s="4" t="str">
        <x:v>Planilha de Hábitos - 8 semanas</x:v>
      </x:c>
      <x:c r="B2" s="4" t="str">
        <x:v>Planilha de Hábitos - 8 semanas</x:v>
      </x:c>
      <x:c r="C2" s="4" t="str">
        <x:v>Planilha de Hábitos - 8 semanas</x:v>
      </x:c>
      <x:c r="D2" s="4" t="str">
        <x:v>Planilha de Hábitos - 8 semanas</x:v>
      </x:c>
      <x:c r="E2" s="4" t="str">
        <x:v>Planilha de Hábitos - 8 semanas</x:v>
      </x:c>
      <x:c r="F2" s="4" t="str">
        <x:v>Planilha de Hábitos - 8 semanas</x:v>
      </x:c>
      <x:c r="G2" s="4" t="str">
        <x:v>Planilha de Hábitos - 8 semanas</x:v>
      </x:c>
      <x:c r="H2" s="4" t="str">
        <x:v>Planilha de Hábitos - 8 semanas</x:v>
      </x:c>
    </x:row>
    <x:row r="3" ht="30" customHeight="1">
      <x:c r="A3" s="8" t="str">
        <x:v>Um sistema simples para criar até 6 hábitos, registrar a execução diária e acompanhar consistência por semana.</x:v>
      </x:c>
      <x:c r="B3" s="8" t="str">
        <x:v>Um sistema simples para criar até 6 hábitos, registrar a execução diária e acompanhar consistência por semana.</x:v>
      </x:c>
      <x:c r="C3" s="8" t="str">
        <x:v>Um sistema simples para criar até 6 hábitos, registrar a execução diária e acompanhar consistência por semana.</x:v>
      </x:c>
      <x:c r="D3" s="8" t="str">
        <x:v>Um sistema simples para criar até 6 hábitos, registrar a execução diária e acompanhar consistência por semana.</x:v>
      </x:c>
      <x:c r="E3" s="8" t="str">
        <x:v>Um sistema simples para criar até 6 hábitos, registrar a execução diária e acompanhar consistência por semana.</x:v>
      </x:c>
      <x:c r="F3" s="8" t="str">
        <x:v>Um sistema simples para criar até 6 hábitos, registrar a execução diária e acompanhar consistência por semana.</x:v>
      </x:c>
      <x:c r="G3" s="8" t="str">
        <x:v>Um sistema simples para criar até 6 hábitos, registrar a execução diária e acompanhar consistência por semana.</x:v>
      </x:c>
      <x:c r="H3" s="8" t="str">
        <x:v>Um sistema simples para criar até 6 hábitos, registrar a execução diária e acompanhar consistência por semana.</x:v>
      </x:c>
    </x:row>
    <x:row r="5">
      <x:c r="A5" s="9" t="str">
        <x:v>COMO USAR</x:v>
      </x:c>
    </x:row>
    <x:row r="7" ht="46" customHeight="1">
      <x:c r="A7" s="13" t="str">
        <x:v>1</x:v>
      </x:c>
      <x:c r="B7" s="15" t="str">
        <x:v>Defina os hábitos</x:v>
      </x:c>
      <x:c r="C7" s="36" t="str">
        <x:v>Na aba Configuração, ajuste data de início, nomes, metas semanais e versões mínimas.</x:v>
      </x:c>
      <x:c r="D7" s="37" t="str"/>
      <x:c r="E7" s="37" t="str"/>
      <x:c r="F7" s="37" t="str"/>
      <x:c r="G7" s="37" t="str"/>
      <x:c r="H7" s="38" t="str"/>
    </x:row>
    <x:row r="8" ht="46" customHeight="1">
      <x:c r="A8" s="13" t="str">
        <x:v>2</x:v>
      </x:c>
      <x:c r="B8" s="15" t="str">
        <x:v>Registre sem complicar</x:v>
      </x:c>
      <x:c r="C8" s="39" t="str">
        <x:v>Na aba Registro 8 Semanas, use 1 para concluído, 0 para não concluído e deixe em branco quando ainda não chegou o dia.</x:v>
      </x:c>
      <x:c r="D8" s="40" t="str"/>
      <x:c r="E8" s="40" t="str"/>
      <x:c r="F8" s="40" t="str"/>
      <x:c r="G8" s="40" t="str"/>
      <x:c r="H8" s="41" t="str"/>
    </x:row>
    <x:row r="9" ht="46" customHeight="1">
      <x:c r="A9" s="13" t="str">
        <x:v>3</x:v>
      </x:c>
      <x:c r="B9" s="15" t="str">
        <x:v>Leia o painel</x:v>
      </x:c>
      <x:c r="C9" s="39" t="str">
        <x:v>Acompanhe consistência geral, execuções por hábito e evolução semanal.</x:v>
      </x:c>
      <x:c r="D9" s="40" t="str"/>
      <x:c r="E9" s="40" t="str"/>
      <x:c r="F9" s="40" t="str"/>
      <x:c r="G9" s="40" t="str"/>
      <x:c r="H9" s="41" t="str"/>
    </x:row>
    <x:row r="10" ht="46" customHeight="1">
      <x:c r="A10" s="13" t="str">
        <x:v>4</x:v>
      </x:c>
      <x:c r="B10" s="15" t="str">
        <x:v>Ajuste o sistema</x:v>
      </x:c>
      <x:c r="C10" s="42" t="str">
        <x:v>Se um hábito ficar abaixo de 50% por duas semanas, reduza sua versão mínima ou mude o gatilho.</x:v>
      </x:c>
      <x:c r="D10" s="43" t="str"/>
      <x:c r="E10" s="43" t="str"/>
      <x:c r="F10" s="43" t="str"/>
      <x:c r="G10" s="43" t="str"/>
      <x:c r="H10" s="44" t="str"/>
    </x:row>
    <x:row r="12" ht="38" customHeight="1">
      <x:c r="A12" s="48" t="str">
        <x:v>Regra de ouro: registre para aprender, não para se punir. A consistência é um sinal para ajustar o ambiente e a dificuldade.</x:v>
      </x:c>
      <x:c r="B12" s="48"/>
      <x:c r="C12" s="48"/>
      <x:c r="D12" s="48"/>
      <x:c r="E12" s="48"/>
      <x:c r="F12" s="48"/>
      <x:c r="G12" s="48"/>
      <x:c r="H12" s="48"/>
    </x:row>
  </x:sheetData>
  <x:mergeCells>
    <x:mergeCell ref="A1:H2"/>
    <x:mergeCell ref="A3:H3"/>
    <x:mergeCell ref="A5:H5"/>
    <x:mergeCell ref="C7:H7"/>
    <x:mergeCell ref="C8:H8"/>
    <x:mergeCell ref="C9:H9"/>
    <x:mergeCell ref="C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20" hidden="0" customWidth="1"/>
    <x:col min="5" max="5" width="34" hidden="0" customWidth="1"/>
  </x:cols>
  <x:sheetData>
    <x:row r="1" ht="38" customHeight="1">
      <x:c r="A1" s="4" t="str">
        <x:v>Configuração</x:v>
      </x:c>
      <x:c r="B1" s="4" t="str">
        <x:v>Configuração</x:v>
      </x:c>
      <x:c r="C1" s="4" t="str">
        <x:v>Configuração</x:v>
      </x:c>
      <x:c r="D1" s="4" t="str">
        <x:v>Configuração</x:v>
      </x:c>
      <x:c r="E1" s="4" t="str">
        <x:v>Configuração</x:v>
      </x:c>
    </x:row>
    <x:row r="2" ht="38" customHeight="1">
      <x:c r="A2" s="4" t="str">
        <x:v>Configuração</x:v>
      </x:c>
      <x:c r="B2" s="4" t="str">
        <x:v>Configuração</x:v>
      </x:c>
      <x:c r="C2" s="4" t="str">
        <x:v>Configuração</x:v>
      </x:c>
      <x:c r="D2" s="4" t="str">
        <x:v>Configuração</x:v>
      </x:c>
      <x:c r="E2" s="4" t="str">
        <x:v>Configuração</x:v>
      </x:c>
    </x:row>
    <x:row r="3" ht="30" customHeight="1">
      <x:c r="A3" s="8" t="str">
        <x:v>Edite somente as células amarelas. As demais abas se atualizam automaticamente.</x:v>
      </x:c>
      <x:c r="B3" s="8" t="str">
        <x:v>Edite somente as células amarelas. As demais abas se atualizam automaticamente.</x:v>
      </x:c>
      <x:c r="C3" s="8" t="str">
        <x:v>Edite somente as células amarelas. As demais abas se atualizam automaticamente.</x:v>
      </x:c>
      <x:c r="D3" s="8" t="str">
        <x:v>Edite somente as células amarelas. As demais abas se atualizam automaticamente.</x:v>
      </x:c>
      <x:c r="E3" s="8" t="str">
        <x:v>Edite somente as células amarelas. As demais abas se atualizam automaticamente.</x:v>
      </x:c>
    </x:row>
    <x:row r="5" ht="28" customHeight="1">
      <x:c r="A5" s="56" t="str">
        <x:v>Parâmetro</x:v>
      </x:c>
      <x:c r="B5" s="57" t="str">
        <x:v>Valor</x:v>
      </x:c>
      <x:c r="C5" s="74"/>
      <x:c r="D5" s="74"/>
      <x:c r="E5" s="74"/>
    </x:row>
    <x:row r="6">
      <x:c r="A6" s="74" t="str">
        <x:v>Data de início</x:v>
      </x:c>
      <x:c r="B6" s="75" t="n">
        <x:v>46251</x:v>
      </x:c>
      <x:c r="C6" s="74"/>
      <x:c r="D6" s="74"/>
      <x:c r="E6" s="74"/>
    </x:row>
    <x:row r="7">
      <x:c r="A7" s="74" t="str">
        <x:v>Duração</x:v>
      </x:c>
      <x:c r="B7" s="74" t="str">
        <x:v>8 semanas</x:v>
      </x:c>
      <x:c r="C7" s="74"/>
      <x:c r="D7" s="74"/>
      <x:c r="E7" s="74"/>
    </x:row>
    <x:row r="8">
      <x:c r="A8" s="74"/>
      <x:c r="B8" s="74"/>
      <x:c r="C8" s="74"/>
      <x:c r="D8" s="74"/>
      <x:c r="E8" s="74"/>
    </x:row>
    <x:row r="9" ht="28" customHeight="1">
      <x:c r="A9" s="56" t="str">
        <x:v>Hábito</x:v>
      </x:c>
      <x:c r="B9" s="64" t="str">
        <x:v>Categoria</x:v>
      </x:c>
      <x:c r="C9" s="64" t="str">
        <x:v>Meta/semana</x:v>
      </x:c>
      <x:c r="D9" s="64" t="str">
        <x:v>Versão mínima</x:v>
      </x:c>
      <x:c r="E9" s="57" t="str">
        <x:v>Por que importa</x:v>
      </x:c>
    </x:row>
    <x:row r="10">
      <x:c r="A10" s="76" t="str">
        <x:v>Beber água ao acordar</x:v>
      </x:c>
      <x:c r="B10" s="77" t="str">
        <x:v>Corpo</x:v>
      </x:c>
      <x:c r="C10" s="77" t="n">
        <x:v>7</x:v>
      </x:c>
      <x:c r="D10" s="77" t="str">
        <x:v>1 copo</x:v>
      </x:c>
      <x:c r="E10" s="78" t="str">
        <x:v>Começar o dia com um gesto simples</x:v>
      </x:c>
    </x:row>
    <x:row r="11">
      <x:c r="A11" s="79" t="str">
        <x:v>Movimento</x:v>
      </x:c>
      <x:c r="B11" s="80" t="str">
        <x:v>Corpo</x:v>
      </x:c>
      <x:c r="C11" s="80" t="n">
        <x:v>5</x:v>
      </x:c>
      <x:c r="D11" s="80" t="str">
        <x:v>5 minutos</x:v>
      </x:c>
      <x:c r="E11" s="81" t="str">
        <x:v>Ativar energia</x:v>
      </x:c>
    </x:row>
    <x:row r="12">
      <x:c r="A12" s="79" t="str">
        <x:v>Leitura</x:v>
      </x:c>
      <x:c r="B12" s="80" t="str">
        <x:v>Aprendizado</x:v>
      </x:c>
      <x:c r="C12" s="80" t="n">
        <x:v>5</x:v>
      </x:c>
      <x:c r="D12" s="80" t="str">
        <x:v>2 páginas</x:v>
      </x:c>
      <x:c r="E12" s="81" t="str">
        <x:v>Manter aprendizado contínuo</x:v>
      </x:c>
    </x:row>
    <x:row r="13">
      <x:c r="A13" s="79" t="str">
        <x:v>Planejar o dia</x:v>
      </x:c>
      <x:c r="B13" s="80" t="str">
        <x:v>Direção</x:v>
      </x:c>
      <x:c r="C13" s="80" t="n">
        <x:v>5</x:v>
      </x:c>
      <x:c r="D13" s="80" t="str">
        <x:v>1 prioridade</x:v>
      </x:c>
      <x:c r="E13" s="81" t="str">
        <x:v>Reduzir reatividade</x:v>
      </x:c>
    </x:row>
    <x:row r="14">
      <x:c r="A14" s="79" t="str">
        <x:v>Pausa sem tela</x:v>
      </x:c>
      <x:c r="B14" s="80" t="str">
        <x:v>Recuperação</x:v>
      </x:c>
      <x:c r="C14" s="80" t="n">
        <x:v>7</x:v>
      </x:c>
      <x:c r="D14" s="80" t="str">
        <x:v>2 minutos</x:v>
      </x:c>
      <x:c r="E14" s="81" t="str">
        <x:v>Proteger atenção</x:v>
      </x:c>
    </x:row>
    <x:row r="15">
      <x:c r="A15" s="82" t="str">
        <x:v>Fechar o dia</x:v>
      </x:c>
      <x:c r="B15" s="83" t="str">
        <x:v>Organização</x:v>
      </x:c>
      <x:c r="C15" s="83" t="n">
        <x:v>5</x:v>
      </x:c>
      <x:c r="D15" s="83" t="str">
        <x:v>Próximo passo</x:v>
      </x:c>
      <x:c r="E15" s="84" t="str">
        <x:v>Encerrar pendências mentalmente</x:v>
      </x:c>
    </x:row>
  </x:sheetData>
  <x:mergeCells>
    <x:mergeCell ref="A1:E2"/>
    <x:mergeCell ref="A3:E3"/>
  </x:mergeCells>
  <x:dataValidations count="1">
    <x:dataValidation type="whole" operator="between" sqref="C10:C15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8" hidden="0" customWidth="1"/>
  </x:cols>
  <x:sheetData>
    <x:row r="1" ht="38" customHeight="1">
      <x:c r="A1" s="4" t="str">
        <x:v>Registro diário - 8 semanas</x:v>
      </x:c>
      <x:c r="B1" s="4" t="str">
        <x:v>Registro diário - 8 semanas</x:v>
      </x:c>
      <x:c r="C1" s="4" t="str">
        <x:v>Registro diário - 8 semanas</x:v>
      </x:c>
      <x:c r="D1" s="4" t="str">
        <x:v>Registro diário - 8 semanas</x:v>
      </x:c>
      <x:c r="E1" s="4" t="str">
        <x:v>Registro diário - 8 semanas</x:v>
      </x:c>
      <x:c r="F1" s="4" t="str">
        <x:v>Registro diário - 8 semanas</x:v>
      </x:c>
      <x:c r="G1" s="4" t="str">
        <x:v>Registro diário - 8 semanas</x:v>
      </x:c>
      <x:c r="H1" s="4" t="str">
        <x:v>Registro diário - 8 semanas</x:v>
      </x:c>
      <x:c r="I1" s="4" t="str">
        <x:v>Registro diário - 8 semanas</x:v>
      </x:c>
      <x:c r="J1" s="4" t="str">
        <x:v>Registro diário - 8 semanas</x:v>
      </x:c>
    </x:row>
    <x:row r="2" ht="38" customHeight="1">
      <x:c r="A2" s="4" t="str">
        <x:v>Registro diário - 8 semanas</x:v>
      </x:c>
      <x:c r="B2" s="4" t="str">
        <x:v>Registro diário - 8 semanas</x:v>
      </x:c>
      <x:c r="C2" s="4" t="str">
        <x:v>Registro diário - 8 semanas</x:v>
      </x:c>
      <x:c r="D2" s="4" t="str">
        <x:v>Registro diário - 8 semanas</x:v>
      </x:c>
      <x:c r="E2" s="4" t="str">
        <x:v>Registro diário - 8 semanas</x:v>
      </x:c>
      <x:c r="F2" s="4" t="str">
        <x:v>Registro diário - 8 semanas</x:v>
      </x:c>
      <x:c r="G2" s="4" t="str">
        <x:v>Registro diário - 8 semanas</x:v>
      </x:c>
      <x:c r="H2" s="4" t="str">
        <x:v>Registro diário - 8 semanas</x:v>
      </x:c>
      <x:c r="I2" s="4" t="str">
        <x:v>Registro diário - 8 semanas</x:v>
      </x:c>
      <x:c r="J2" s="4" t="str">
        <x:v>Registro diário - 8 semanas</x:v>
      </x:c>
    </x:row>
    <x:row r="3" ht="30" customHeight="1">
      <x:c r="A3" s="8" t="str">
        <x:v>Digite 1 para concluído, 0 para não concluído e deixe em branco para datas futuras.</x:v>
      </x:c>
      <x:c r="B3" s="8" t="str">
        <x:v>Digite 1 para concluído, 0 para não concluído e deixe em branco para datas futuras.</x:v>
      </x:c>
      <x:c r="C3" s="8" t="str">
        <x:v>Digite 1 para concluído, 0 para não concluído e deixe em branco para datas futuras.</x:v>
      </x:c>
      <x:c r="D3" s="8" t="str">
        <x:v>Digite 1 para concluído, 0 para não concluído e deixe em branco para datas futuras.</x:v>
      </x:c>
      <x:c r="E3" s="8" t="str">
        <x:v>Digite 1 para concluído, 0 para não concluído e deixe em branco para datas futuras.</x:v>
      </x:c>
      <x:c r="F3" s="8" t="str">
        <x:v>Digite 1 para concluído, 0 para não concluído e deixe em branco para datas futuras.</x:v>
      </x:c>
      <x:c r="G3" s="8" t="str">
        <x:v>Digite 1 para concluído, 0 para não concluído e deixe em branco para datas futuras.</x:v>
      </x:c>
      <x:c r="H3" s="8" t="str">
        <x:v>Digite 1 para concluído, 0 para não concluído e deixe em branco para datas futuras.</x:v>
      </x:c>
      <x:c r="I3" s="8" t="str">
        <x:v>Digite 1 para concluído, 0 para não concluído e deixe em branco para datas futuras.</x:v>
      </x:c>
      <x:c r="J3" s="8" t="str">
        <x:v>Digite 1 para concluído, 0 para não concluído e deixe em branco para datas futuras.</x:v>
      </x:c>
    </x:row>
    <x:row r="5" ht="28" customHeight="1">
      <x:c r="A5" s="56" t="str">
        <x:v>Semana</x:v>
      </x:c>
      <x:c r="B5" s="64" t="str">
        <x:v>Data</x:v>
      </x:c>
      <x:c r="C5" s="64" t="str">
        <x:v>Dia</x:v>
      </x:c>
      <x:c r="D5" s="64" t="str">
        <x:f>'Configuração'!A10</x:f>
        <x:v>Beber água ao acordar</x:v>
      </x:c>
      <x:c r="E5" s="64" t="str">
        <x:f>'Configuração'!A11</x:f>
        <x:v>Movimento</x:v>
      </x:c>
      <x:c r="F5" s="64" t="str">
        <x:f>'Configuração'!A12</x:f>
        <x:v>Leitura</x:v>
      </x:c>
      <x:c r="G5" s="64" t="str">
        <x:f>'Configuração'!A13</x:f>
        <x:v>Planejar o dia</x:v>
      </x:c>
      <x:c r="H5" s="64" t="str">
        <x:f>'Configuração'!A14</x:f>
        <x:v>Pausa sem tela</x:v>
      </x:c>
      <x:c r="I5" s="64" t="str">
        <x:f>'Configuração'!A15</x:f>
        <x:v>Fechar o dia</x:v>
      </x:c>
      <x:c r="J5" s="57" t="str">
        <x:v>Qtd.</x:v>
      </x:c>
    </x:row>
    <x:row r="6" ht="22" customHeight="1">
      <x:c r="A6" s="85" t="n">
        <x:f>INT((ROW()-6)/7)+1</x:f>
        <x:v>1</x:v>
      </x:c>
      <x:c r="B6" s="86" t="n">
        <x:f>'Configuração'!$B$6+ROW()-6</x:f>
        <x:v>46251</x:v>
      </x:c>
      <x:c r="C6" s="85" t="str">
        <x:f>CHOOSE(WEEKDAY(B6),"dom","seg","ter","qua","qui","sex","sáb")</x:f>
        <x:v>seg</x:v>
      </x:c>
      <x:c r="D6" s="91"/>
      <x:c r="E6" s="91"/>
      <x:c r="F6" s="91"/>
      <x:c r="G6" s="91"/>
      <x:c r="H6" s="91"/>
      <x:c r="I6" s="91"/>
      <x:c r="J6" s="93" t="n">
        <x:f>COUNTA(D6:I6)</x:f>
        <x:v>0</x:v>
      </x:c>
    </x:row>
    <x:row r="7" ht="22" customHeight="1">
      <x:c r="A7" s="85" t="n">
        <x:f>INT((ROW()-6)/7)+1</x:f>
        <x:v>1</x:v>
      </x:c>
      <x:c r="B7" s="86" t="n">
        <x:f>'Configuração'!$B$6+ROW()-6</x:f>
        <x:v>46252</x:v>
      </x:c>
      <x:c r="C7" s="85" t="str">
        <x:f>CHOOSE(WEEKDAY(B7),"dom","seg","ter","qua","qui","sex","sáb")</x:f>
        <x:v>ter</x:v>
      </x:c>
      <x:c r="D7" s="91"/>
      <x:c r="E7" s="91"/>
      <x:c r="F7" s="91"/>
      <x:c r="G7" s="91"/>
      <x:c r="H7" s="91"/>
      <x:c r="I7" s="91"/>
      <x:c r="J7" s="93" t="n">
        <x:f>COUNTA(D7:I7)</x:f>
        <x:v>0</x:v>
      </x:c>
    </x:row>
    <x:row r="8" ht="22" customHeight="1">
      <x:c r="A8" s="85" t="n">
        <x:f>INT((ROW()-6)/7)+1</x:f>
        <x:v>1</x:v>
      </x:c>
      <x:c r="B8" s="86" t="n">
        <x:f>'Configuração'!$B$6+ROW()-6</x:f>
        <x:v>46253</x:v>
      </x:c>
      <x:c r="C8" s="85" t="str">
        <x:f>CHOOSE(WEEKDAY(B8),"dom","seg","ter","qua","qui","sex","sáb")</x:f>
        <x:v>qua</x:v>
      </x:c>
      <x:c r="D8" s="91"/>
      <x:c r="E8" s="91"/>
      <x:c r="F8" s="91"/>
      <x:c r="G8" s="91"/>
      <x:c r="H8" s="91"/>
      <x:c r="I8" s="91"/>
      <x:c r="J8" s="93" t="n">
        <x:f>COUNTA(D8:I8)</x:f>
        <x:v>0</x:v>
      </x:c>
    </x:row>
    <x:row r="9" ht="22" customHeight="1">
      <x:c r="A9" s="85" t="n">
        <x:f>INT((ROW()-6)/7)+1</x:f>
        <x:v>1</x:v>
      </x:c>
      <x:c r="B9" s="86" t="n">
        <x:f>'Configuração'!$B$6+ROW()-6</x:f>
        <x:v>46254</x:v>
      </x:c>
      <x:c r="C9" s="85" t="str">
        <x:f>CHOOSE(WEEKDAY(B9),"dom","seg","ter","qua","qui","sex","sáb")</x:f>
        <x:v>qui</x:v>
      </x:c>
      <x:c r="D9" s="91"/>
      <x:c r="E9" s="91"/>
      <x:c r="F9" s="91"/>
      <x:c r="G9" s="91"/>
      <x:c r="H9" s="91"/>
      <x:c r="I9" s="91"/>
      <x:c r="J9" s="93" t="n">
        <x:f>COUNTA(D9:I9)</x:f>
        <x:v>0</x:v>
      </x:c>
    </x:row>
    <x:row r="10" ht="22" customHeight="1">
      <x:c r="A10" s="85" t="n">
        <x:f>INT((ROW()-6)/7)+1</x:f>
        <x:v>1</x:v>
      </x:c>
      <x:c r="B10" s="86" t="n">
        <x:f>'Configuração'!$B$6+ROW()-6</x:f>
        <x:v>46255</x:v>
      </x:c>
      <x:c r="C10" s="85" t="str">
        <x:f>CHOOSE(WEEKDAY(B10),"dom","seg","ter","qua","qui","sex","sáb")</x:f>
        <x:v>sex</x:v>
      </x:c>
      <x:c r="D10" s="91"/>
      <x:c r="E10" s="91"/>
      <x:c r="F10" s="91"/>
      <x:c r="G10" s="91"/>
      <x:c r="H10" s="91"/>
      <x:c r="I10" s="91"/>
      <x:c r="J10" s="93" t="n">
        <x:f>COUNTA(D10:I10)</x:f>
        <x:v>0</x:v>
      </x:c>
    </x:row>
    <x:row r="11" ht="22" customHeight="1">
      <x:c r="A11" s="85" t="n">
        <x:f>INT((ROW()-6)/7)+1</x:f>
        <x:v>1</x:v>
      </x:c>
      <x:c r="B11" s="86" t="n">
        <x:f>'Configuração'!$B$6+ROW()-6</x:f>
        <x:v>46256</x:v>
      </x:c>
      <x:c r="C11" s="85" t="str">
        <x:f>CHOOSE(WEEKDAY(B11),"dom","seg","ter","qua","qui","sex","sáb")</x:f>
        <x:v>sáb</x:v>
      </x:c>
      <x:c r="D11" s="91"/>
      <x:c r="E11" s="91"/>
      <x:c r="F11" s="91"/>
      <x:c r="G11" s="91"/>
      <x:c r="H11" s="91"/>
      <x:c r="I11" s="91"/>
      <x:c r="J11" s="93" t="n">
        <x:f>COUNTA(D11:I11)</x:f>
        <x:v>0</x:v>
      </x:c>
    </x:row>
    <x:row r="12" ht="22" customHeight="1">
      <x:c r="A12" s="85" t="n">
        <x:f>INT((ROW()-6)/7)+1</x:f>
        <x:v>1</x:v>
      </x:c>
      <x:c r="B12" s="86" t="n">
        <x:f>'Configuração'!$B$6+ROW()-6</x:f>
        <x:v>46257</x:v>
      </x:c>
      <x:c r="C12" s="85" t="str">
        <x:f>CHOOSE(WEEKDAY(B12),"dom","seg","ter","qua","qui","sex","sáb")</x:f>
        <x:v>dom</x:v>
      </x:c>
      <x:c r="D12" s="91"/>
      <x:c r="E12" s="91"/>
      <x:c r="F12" s="91"/>
      <x:c r="G12" s="91"/>
      <x:c r="H12" s="91"/>
      <x:c r="I12" s="91"/>
      <x:c r="J12" s="93" t="n">
        <x:f>COUNTA(D12:I12)</x:f>
        <x:v>0</x:v>
      </x:c>
    </x:row>
    <x:row r="13" ht="22" customHeight="1">
      <x:c r="A13" s="85" t="n">
        <x:f>INT((ROW()-6)/7)+1</x:f>
        <x:v>2</x:v>
      </x:c>
      <x:c r="B13" s="86" t="n">
        <x:f>'Configuração'!$B$6+ROW()-6</x:f>
        <x:v>46258</x:v>
      </x:c>
      <x:c r="C13" s="85" t="str">
        <x:f>CHOOSE(WEEKDAY(B13),"dom","seg","ter","qua","qui","sex","sáb")</x:f>
        <x:v>seg</x:v>
      </x:c>
      <x:c r="D13" s="91"/>
      <x:c r="E13" s="91"/>
      <x:c r="F13" s="91"/>
      <x:c r="G13" s="91"/>
      <x:c r="H13" s="91"/>
      <x:c r="I13" s="91"/>
      <x:c r="J13" s="93" t="n">
        <x:f>COUNTA(D13:I13)</x:f>
        <x:v>0</x:v>
      </x:c>
    </x:row>
    <x:row r="14" ht="22" customHeight="1">
      <x:c r="A14" s="85" t="n">
        <x:f>INT((ROW()-6)/7)+1</x:f>
        <x:v>2</x:v>
      </x:c>
      <x:c r="B14" s="86" t="n">
        <x:f>'Configuração'!$B$6+ROW()-6</x:f>
        <x:v>46259</x:v>
      </x:c>
      <x:c r="C14" s="85" t="str">
        <x:f>CHOOSE(WEEKDAY(B14),"dom","seg","ter","qua","qui","sex","sáb")</x:f>
        <x:v>ter</x:v>
      </x:c>
      <x:c r="D14" s="91"/>
      <x:c r="E14" s="91"/>
      <x:c r="F14" s="91"/>
      <x:c r="G14" s="91"/>
      <x:c r="H14" s="91"/>
      <x:c r="I14" s="91"/>
      <x:c r="J14" s="93" t="n">
        <x:f>COUNTA(D14:I14)</x:f>
        <x:v>0</x:v>
      </x:c>
    </x:row>
    <x:row r="15" ht="22" customHeight="1">
      <x:c r="A15" s="85" t="n">
        <x:f>INT((ROW()-6)/7)+1</x:f>
        <x:v>2</x:v>
      </x:c>
      <x:c r="B15" s="86" t="n">
        <x:f>'Configuração'!$B$6+ROW()-6</x:f>
        <x:v>46260</x:v>
      </x:c>
      <x:c r="C15" s="85" t="str">
        <x:f>CHOOSE(WEEKDAY(B15),"dom","seg","ter","qua","qui","sex","sáb")</x:f>
        <x:v>qua</x:v>
      </x:c>
      <x:c r="D15" s="91"/>
      <x:c r="E15" s="91"/>
      <x:c r="F15" s="91"/>
      <x:c r="G15" s="91"/>
      <x:c r="H15" s="91"/>
      <x:c r="I15" s="91"/>
      <x:c r="J15" s="93" t="n">
        <x:f>COUNTA(D15:I15)</x:f>
        <x:v>0</x:v>
      </x:c>
    </x:row>
    <x:row r="16" ht="22" customHeight="1">
      <x:c r="A16" s="85" t="n">
        <x:f>INT((ROW()-6)/7)+1</x:f>
        <x:v>2</x:v>
      </x:c>
      <x:c r="B16" s="86" t="n">
        <x:f>'Configuração'!$B$6+ROW()-6</x:f>
        <x:v>46261</x:v>
      </x:c>
      <x:c r="C16" s="85" t="str">
        <x:f>CHOOSE(WEEKDAY(B16),"dom","seg","ter","qua","qui","sex","sáb")</x:f>
        <x:v>qui</x:v>
      </x:c>
      <x:c r="D16" s="91"/>
      <x:c r="E16" s="91"/>
      <x:c r="F16" s="91"/>
      <x:c r="G16" s="91"/>
      <x:c r="H16" s="91"/>
      <x:c r="I16" s="91"/>
      <x:c r="J16" s="93" t="n">
        <x:f>COUNTA(D16:I16)</x:f>
        <x:v>0</x:v>
      </x:c>
    </x:row>
    <x:row r="17" ht="22" customHeight="1">
      <x:c r="A17" s="85" t="n">
        <x:f>INT((ROW()-6)/7)+1</x:f>
        <x:v>2</x:v>
      </x:c>
      <x:c r="B17" s="86" t="n">
        <x:f>'Configuração'!$B$6+ROW()-6</x:f>
        <x:v>46262</x:v>
      </x:c>
      <x:c r="C17" s="85" t="str">
        <x:f>CHOOSE(WEEKDAY(B17),"dom","seg","ter","qua","qui","sex","sáb")</x:f>
        <x:v>sex</x:v>
      </x:c>
      <x:c r="D17" s="91"/>
      <x:c r="E17" s="91"/>
      <x:c r="F17" s="91"/>
      <x:c r="G17" s="91"/>
      <x:c r="H17" s="91"/>
      <x:c r="I17" s="91"/>
      <x:c r="J17" s="93" t="n">
        <x:f>COUNTA(D17:I17)</x:f>
        <x:v>0</x:v>
      </x:c>
    </x:row>
    <x:row r="18" ht="22" customHeight="1">
      <x:c r="A18" s="85" t="n">
        <x:f>INT((ROW()-6)/7)+1</x:f>
        <x:v>2</x:v>
      </x:c>
      <x:c r="B18" s="86" t="n">
        <x:f>'Configuração'!$B$6+ROW()-6</x:f>
        <x:v>46263</x:v>
      </x:c>
      <x:c r="C18" s="85" t="str">
        <x:f>CHOOSE(WEEKDAY(B18),"dom","seg","ter","qua","qui","sex","sáb")</x:f>
        <x:v>sáb</x:v>
      </x:c>
      <x:c r="D18" s="91"/>
      <x:c r="E18" s="91"/>
      <x:c r="F18" s="91"/>
      <x:c r="G18" s="91"/>
      <x:c r="H18" s="91"/>
      <x:c r="I18" s="91"/>
      <x:c r="J18" s="93" t="n">
        <x:f>COUNTA(D18:I18)</x:f>
        <x:v>0</x:v>
      </x:c>
    </x:row>
    <x:row r="19" ht="22" customHeight="1">
      <x:c r="A19" s="85" t="n">
        <x:f>INT((ROW()-6)/7)+1</x:f>
        <x:v>2</x:v>
      </x:c>
      <x:c r="B19" s="86" t="n">
        <x:f>'Configuração'!$B$6+ROW()-6</x:f>
        <x:v>46264</x:v>
      </x:c>
      <x:c r="C19" s="85" t="str">
        <x:f>CHOOSE(WEEKDAY(B19),"dom","seg","ter","qua","qui","sex","sáb")</x:f>
        <x:v>dom</x:v>
      </x:c>
      <x:c r="D19" s="91"/>
      <x:c r="E19" s="91"/>
      <x:c r="F19" s="91"/>
      <x:c r="G19" s="91"/>
      <x:c r="H19" s="91"/>
      <x:c r="I19" s="91"/>
      <x:c r="J19" s="93" t="n">
        <x:f>COUNTA(D19:I19)</x:f>
        <x:v>0</x:v>
      </x:c>
    </x:row>
    <x:row r="20" ht="22" customHeight="1">
      <x:c r="A20" s="85" t="n">
        <x:f>INT((ROW()-6)/7)+1</x:f>
        <x:v>3</x:v>
      </x:c>
      <x:c r="B20" s="86" t="n">
        <x:f>'Configuração'!$B$6+ROW()-6</x:f>
        <x:v>46265</x:v>
      </x:c>
      <x:c r="C20" s="85" t="str">
        <x:f>CHOOSE(WEEKDAY(B20),"dom","seg","ter","qua","qui","sex","sáb")</x:f>
        <x:v>seg</x:v>
      </x:c>
      <x:c r="D20" s="91"/>
      <x:c r="E20" s="91"/>
      <x:c r="F20" s="91"/>
      <x:c r="G20" s="91"/>
      <x:c r="H20" s="91"/>
      <x:c r="I20" s="91"/>
      <x:c r="J20" s="93" t="n">
        <x:f>COUNTA(D20:I20)</x:f>
        <x:v>0</x:v>
      </x:c>
    </x:row>
    <x:row r="21" ht="22" customHeight="1">
      <x:c r="A21" s="85" t="n">
        <x:f>INT((ROW()-6)/7)+1</x:f>
        <x:v>3</x:v>
      </x:c>
      <x:c r="B21" s="86" t="n">
        <x:f>'Configuração'!$B$6+ROW()-6</x:f>
        <x:v>46266</x:v>
      </x:c>
      <x:c r="C21" s="85" t="str">
        <x:f>CHOOSE(WEEKDAY(B21),"dom","seg","ter","qua","qui","sex","sáb")</x:f>
        <x:v>ter</x:v>
      </x:c>
      <x:c r="D21" s="91"/>
      <x:c r="E21" s="91"/>
      <x:c r="F21" s="91"/>
      <x:c r="G21" s="91"/>
      <x:c r="H21" s="91"/>
      <x:c r="I21" s="91"/>
      <x:c r="J21" s="93" t="n">
        <x:f>COUNTA(D21:I21)</x:f>
        <x:v>0</x:v>
      </x:c>
    </x:row>
    <x:row r="22" ht="22" customHeight="1">
      <x:c r="A22" s="85" t="n">
        <x:f>INT((ROW()-6)/7)+1</x:f>
        <x:v>3</x:v>
      </x:c>
      <x:c r="B22" s="86" t="n">
        <x:f>'Configuração'!$B$6+ROW()-6</x:f>
        <x:v>46267</x:v>
      </x:c>
      <x:c r="C22" s="85" t="str">
        <x:f>CHOOSE(WEEKDAY(B22),"dom","seg","ter","qua","qui","sex","sáb")</x:f>
        <x:v>qua</x:v>
      </x:c>
      <x:c r="D22" s="91"/>
      <x:c r="E22" s="91"/>
      <x:c r="F22" s="91"/>
      <x:c r="G22" s="91"/>
      <x:c r="H22" s="91"/>
      <x:c r="I22" s="91"/>
      <x:c r="J22" s="93" t="n">
        <x:f>COUNTA(D22:I22)</x:f>
        <x:v>0</x:v>
      </x:c>
    </x:row>
    <x:row r="23" ht="22" customHeight="1">
      <x:c r="A23" s="85" t="n">
        <x:f>INT((ROW()-6)/7)+1</x:f>
        <x:v>3</x:v>
      </x:c>
      <x:c r="B23" s="86" t="n">
        <x:f>'Configuração'!$B$6+ROW()-6</x:f>
        <x:v>46268</x:v>
      </x:c>
      <x:c r="C23" s="85" t="str">
        <x:f>CHOOSE(WEEKDAY(B23),"dom","seg","ter","qua","qui","sex","sáb")</x:f>
        <x:v>qui</x:v>
      </x:c>
      <x:c r="D23" s="91"/>
      <x:c r="E23" s="91"/>
      <x:c r="F23" s="91"/>
      <x:c r="G23" s="91"/>
      <x:c r="H23" s="91"/>
      <x:c r="I23" s="91"/>
      <x:c r="J23" s="93" t="n">
        <x:f>COUNTA(D23:I23)</x:f>
        <x:v>0</x:v>
      </x:c>
    </x:row>
    <x:row r="24" ht="22" customHeight="1">
      <x:c r="A24" s="85" t="n">
        <x:f>INT((ROW()-6)/7)+1</x:f>
        <x:v>3</x:v>
      </x:c>
      <x:c r="B24" s="86" t="n">
        <x:f>'Configuração'!$B$6+ROW()-6</x:f>
        <x:v>46269</x:v>
      </x:c>
      <x:c r="C24" s="85" t="str">
        <x:f>CHOOSE(WEEKDAY(B24),"dom","seg","ter","qua","qui","sex","sáb")</x:f>
        <x:v>sex</x:v>
      </x:c>
      <x:c r="D24" s="91"/>
      <x:c r="E24" s="91"/>
      <x:c r="F24" s="91"/>
      <x:c r="G24" s="91"/>
      <x:c r="H24" s="91"/>
      <x:c r="I24" s="91"/>
      <x:c r="J24" s="93" t="n">
        <x:f>COUNTA(D24:I24)</x:f>
        <x:v>0</x:v>
      </x:c>
    </x:row>
    <x:row r="25" ht="22" customHeight="1">
      <x:c r="A25" s="85" t="n">
        <x:f>INT((ROW()-6)/7)+1</x:f>
        <x:v>3</x:v>
      </x:c>
      <x:c r="B25" s="86" t="n">
        <x:f>'Configuração'!$B$6+ROW()-6</x:f>
        <x:v>46270</x:v>
      </x:c>
      <x:c r="C25" s="85" t="str">
        <x:f>CHOOSE(WEEKDAY(B25),"dom","seg","ter","qua","qui","sex","sáb")</x:f>
        <x:v>sáb</x:v>
      </x:c>
      <x:c r="D25" s="91"/>
      <x:c r="E25" s="91"/>
      <x:c r="F25" s="91"/>
      <x:c r="G25" s="91"/>
      <x:c r="H25" s="91"/>
      <x:c r="I25" s="91"/>
      <x:c r="J25" s="93" t="n">
        <x:f>COUNTA(D25:I25)</x:f>
        <x:v>0</x:v>
      </x:c>
    </x:row>
    <x:row r="26" ht="22" customHeight="1">
      <x:c r="A26" s="85" t="n">
        <x:f>INT((ROW()-6)/7)+1</x:f>
        <x:v>3</x:v>
      </x:c>
      <x:c r="B26" s="86" t="n">
        <x:f>'Configuração'!$B$6+ROW()-6</x:f>
        <x:v>46271</x:v>
      </x:c>
      <x:c r="C26" s="85" t="str">
        <x:f>CHOOSE(WEEKDAY(B26),"dom","seg","ter","qua","qui","sex","sáb")</x:f>
        <x:v>dom</x:v>
      </x:c>
      <x:c r="D26" s="91"/>
      <x:c r="E26" s="91"/>
      <x:c r="F26" s="91"/>
      <x:c r="G26" s="91"/>
      <x:c r="H26" s="91"/>
      <x:c r="I26" s="91"/>
      <x:c r="J26" s="93" t="n">
        <x:f>COUNTA(D26:I26)</x:f>
        <x:v>0</x:v>
      </x:c>
    </x:row>
    <x:row r="27" ht="22" customHeight="1">
      <x:c r="A27" s="85" t="n">
        <x:f>INT((ROW()-6)/7)+1</x:f>
        <x:v>4</x:v>
      </x:c>
      <x:c r="B27" s="86" t="n">
        <x:f>'Configuração'!$B$6+ROW()-6</x:f>
        <x:v>46272</x:v>
      </x:c>
      <x:c r="C27" s="85" t="str">
        <x:f>CHOOSE(WEEKDAY(B27),"dom","seg","ter","qua","qui","sex","sáb")</x:f>
        <x:v>seg</x:v>
      </x:c>
      <x:c r="D27" s="91"/>
      <x:c r="E27" s="91"/>
      <x:c r="F27" s="91"/>
      <x:c r="G27" s="91"/>
      <x:c r="H27" s="91"/>
      <x:c r="I27" s="91"/>
      <x:c r="J27" s="93" t="n">
        <x:f>COUNTA(D27:I27)</x:f>
        <x:v>0</x:v>
      </x:c>
    </x:row>
    <x:row r="28" ht="22" customHeight="1">
      <x:c r="A28" s="85" t="n">
        <x:f>INT((ROW()-6)/7)+1</x:f>
        <x:v>4</x:v>
      </x:c>
      <x:c r="B28" s="86" t="n">
        <x:f>'Configuração'!$B$6+ROW()-6</x:f>
        <x:v>46273</x:v>
      </x:c>
      <x:c r="C28" s="85" t="str">
        <x:f>CHOOSE(WEEKDAY(B28),"dom","seg","ter","qua","qui","sex","sáb")</x:f>
        <x:v>ter</x:v>
      </x:c>
      <x:c r="D28" s="91"/>
      <x:c r="E28" s="91"/>
      <x:c r="F28" s="91"/>
      <x:c r="G28" s="91"/>
      <x:c r="H28" s="91"/>
      <x:c r="I28" s="91"/>
      <x:c r="J28" s="93" t="n">
        <x:f>COUNTA(D28:I28)</x:f>
        <x:v>0</x:v>
      </x:c>
    </x:row>
    <x:row r="29" ht="22" customHeight="1">
      <x:c r="A29" s="85" t="n">
        <x:f>INT((ROW()-6)/7)+1</x:f>
        <x:v>4</x:v>
      </x:c>
      <x:c r="B29" s="86" t="n">
        <x:f>'Configuração'!$B$6+ROW()-6</x:f>
        <x:v>46274</x:v>
      </x:c>
      <x:c r="C29" s="85" t="str">
        <x:f>CHOOSE(WEEKDAY(B29),"dom","seg","ter","qua","qui","sex","sáb")</x:f>
        <x:v>qua</x:v>
      </x:c>
      <x:c r="D29" s="91"/>
      <x:c r="E29" s="91"/>
      <x:c r="F29" s="91"/>
      <x:c r="G29" s="91"/>
      <x:c r="H29" s="91"/>
      <x:c r="I29" s="91"/>
      <x:c r="J29" s="93" t="n">
        <x:f>COUNTA(D29:I29)</x:f>
        <x:v>0</x:v>
      </x:c>
    </x:row>
    <x:row r="30" ht="22" customHeight="1">
      <x:c r="A30" s="85" t="n">
        <x:f>INT((ROW()-6)/7)+1</x:f>
        <x:v>4</x:v>
      </x:c>
      <x:c r="B30" s="86" t="n">
        <x:f>'Configuração'!$B$6+ROW()-6</x:f>
        <x:v>46275</x:v>
      </x:c>
      <x:c r="C30" s="85" t="str">
        <x:f>CHOOSE(WEEKDAY(B30),"dom","seg","ter","qua","qui","sex","sáb")</x:f>
        <x:v>qui</x:v>
      </x:c>
      <x:c r="D30" s="91"/>
      <x:c r="E30" s="91"/>
      <x:c r="F30" s="91"/>
      <x:c r="G30" s="91"/>
      <x:c r="H30" s="91"/>
      <x:c r="I30" s="91"/>
      <x:c r="J30" s="93" t="n">
        <x:f>COUNTA(D30:I30)</x:f>
        <x:v>0</x:v>
      </x:c>
    </x:row>
    <x:row r="31" ht="22" customHeight="1">
      <x:c r="A31" s="85" t="n">
        <x:f>INT((ROW()-6)/7)+1</x:f>
        <x:v>4</x:v>
      </x:c>
      <x:c r="B31" s="86" t="n">
        <x:f>'Configuração'!$B$6+ROW()-6</x:f>
        <x:v>46276</x:v>
      </x:c>
      <x:c r="C31" s="85" t="str">
        <x:f>CHOOSE(WEEKDAY(B31),"dom","seg","ter","qua","qui","sex","sáb")</x:f>
        <x:v>sex</x:v>
      </x:c>
      <x:c r="D31" s="91"/>
      <x:c r="E31" s="91"/>
      <x:c r="F31" s="91"/>
      <x:c r="G31" s="91"/>
      <x:c r="H31" s="91"/>
      <x:c r="I31" s="91"/>
      <x:c r="J31" s="93" t="n">
        <x:f>COUNTA(D31:I31)</x:f>
        <x:v>0</x:v>
      </x:c>
    </x:row>
    <x:row r="32" ht="22" customHeight="1">
      <x:c r="A32" s="85" t="n">
        <x:f>INT((ROW()-6)/7)+1</x:f>
        <x:v>4</x:v>
      </x:c>
      <x:c r="B32" s="86" t="n">
        <x:f>'Configuração'!$B$6+ROW()-6</x:f>
        <x:v>46277</x:v>
      </x:c>
      <x:c r="C32" s="85" t="str">
        <x:f>CHOOSE(WEEKDAY(B32),"dom","seg","ter","qua","qui","sex","sáb")</x:f>
        <x:v>sáb</x:v>
      </x:c>
      <x:c r="D32" s="91"/>
      <x:c r="E32" s="91"/>
      <x:c r="F32" s="91"/>
      <x:c r="G32" s="91"/>
      <x:c r="H32" s="91"/>
      <x:c r="I32" s="91"/>
      <x:c r="J32" s="93" t="n">
        <x:f>COUNTA(D32:I32)</x:f>
        <x:v>0</x:v>
      </x:c>
    </x:row>
    <x:row r="33" ht="22" customHeight="1">
      <x:c r="A33" s="85" t="n">
        <x:f>INT((ROW()-6)/7)+1</x:f>
        <x:v>4</x:v>
      </x:c>
      <x:c r="B33" s="86" t="n">
        <x:f>'Configuração'!$B$6+ROW()-6</x:f>
        <x:v>46278</x:v>
      </x:c>
      <x:c r="C33" s="85" t="str">
        <x:f>CHOOSE(WEEKDAY(B33),"dom","seg","ter","qua","qui","sex","sáb")</x:f>
        <x:v>dom</x:v>
      </x:c>
      <x:c r="D33" s="91"/>
      <x:c r="E33" s="91"/>
      <x:c r="F33" s="91"/>
      <x:c r="G33" s="91"/>
      <x:c r="H33" s="91"/>
      <x:c r="I33" s="91"/>
      <x:c r="J33" s="93" t="n">
        <x:f>COUNTA(D33:I33)</x:f>
        <x:v>0</x:v>
      </x:c>
    </x:row>
    <x:row r="34" ht="22" customHeight="1">
      <x:c r="A34" s="85" t="n">
        <x:f>INT((ROW()-6)/7)+1</x:f>
        <x:v>5</x:v>
      </x:c>
      <x:c r="B34" s="86" t="n">
        <x:f>'Configuração'!$B$6+ROW()-6</x:f>
        <x:v>46279</x:v>
      </x:c>
      <x:c r="C34" s="85" t="str">
        <x:f>CHOOSE(WEEKDAY(B34),"dom","seg","ter","qua","qui","sex","sáb")</x:f>
        <x:v>seg</x:v>
      </x:c>
      <x:c r="D34" s="91"/>
      <x:c r="E34" s="91"/>
      <x:c r="F34" s="91"/>
      <x:c r="G34" s="91"/>
      <x:c r="H34" s="91"/>
      <x:c r="I34" s="91"/>
      <x:c r="J34" s="93" t="n">
        <x:f>COUNTA(D34:I34)</x:f>
        <x:v>0</x:v>
      </x:c>
    </x:row>
    <x:row r="35" ht="22" customHeight="1">
      <x:c r="A35" s="85" t="n">
        <x:f>INT((ROW()-6)/7)+1</x:f>
        <x:v>5</x:v>
      </x:c>
      <x:c r="B35" s="86" t="n">
        <x:f>'Configuração'!$B$6+ROW()-6</x:f>
        <x:v>46280</x:v>
      </x:c>
      <x:c r="C35" s="85" t="str">
        <x:f>CHOOSE(WEEKDAY(B35),"dom","seg","ter","qua","qui","sex","sáb")</x:f>
        <x:v>ter</x:v>
      </x:c>
      <x:c r="D35" s="91"/>
      <x:c r="E35" s="91"/>
      <x:c r="F35" s="91"/>
      <x:c r="G35" s="91"/>
      <x:c r="H35" s="91"/>
      <x:c r="I35" s="91"/>
      <x:c r="J35" s="93" t="n">
        <x:f>COUNTA(D35:I35)</x:f>
        <x:v>0</x:v>
      </x:c>
    </x:row>
    <x:row r="36" ht="22" customHeight="1">
      <x:c r="A36" s="85" t="n">
        <x:f>INT((ROW()-6)/7)+1</x:f>
        <x:v>5</x:v>
      </x:c>
      <x:c r="B36" s="86" t="n">
        <x:f>'Configuração'!$B$6+ROW()-6</x:f>
        <x:v>46281</x:v>
      </x:c>
      <x:c r="C36" s="85" t="str">
        <x:f>CHOOSE(WEEKDAY(B36),"dom","seg","ter","qua","qui","sex","sáb")</x:f>
        <x:v>qua</x:v>
      </x:c>
      <x:c r="D36" s="91"/>
      <x:c r="E36" s="91"/>
      <x:c r="F36" s="91"/>
      <x:c r="G36" s="91"/>
      <x:c r="H36" s="91"/>
      <x:c r="I36" s="91"/>
      <x:c r="J36" s="93" t="n">
        <x:f>COUNTA(D36:I36)</x:f>
        <x:v>0</x:v>
      </x:c>
    </x:row>
    <x:row r="37" ht="22" customHeight="1">
      <x:c r="A37" s="85" t="n">
        <x:f>INT((ROW()-6)/7)+1</x:f>
        <x:v>5</x:v>
      </x:c>
      <x:c r="B37" s="86" t="n">
        <x:f>'Configuração'!$B$6+ROW()-6</x:f>
        <x:v>46282</x:v>
      </x:c>
      <x:c r="C37" s="85" t="str">
        <x:f>CHOOSE(WEEKDAY(B37),"dom","seg","ter","qua","qui","sex","sáb")</x:f>
        <x:v>qui</x:v>
      </x:c>
      <x:c r="D37" s="91"/>
      <x:c r="E37" s="91"/>
      <x:c r="F37" s="91"/>
      <x:c r="G37" s="91"/>
      <x:c r="H37" s="91"/>
      <x:c r="I37" s="91"/>
      <x:c r="J37" s="93" t="n">
        <x:f>COUNTA(D37:I37)</x:f>
        <x:v>0</x:v>
      </x:c>
    </x:row>
    <x:row r="38" ht="22" customHeight="1">
      <x:c r="A38" s="85" t="n">
        <x:f>INT((ROW()-6)/7)+1</x:f>
        <x:v>5</x:v>
      </x:c>
      <x:c r="B38" s="86" t="n">
        <x:f>'Configuração'!$B$6+ROW()-6</x:f>
        <x:v>46283</x:v>
      </x:c>
      <x:c r="C38" s="85" t="str">
        <x:f>CHOOSE(WEEKDAY(B38),"dom","seg","ter","qua","qui","sex","sáb")</x:f>
        <x:v>sex</x:v>
      </x:c>
      <x:c r="D38" s="91"/>
      <x:c r="E38" s="91"/>
      <x:c r="F38" s="91"/>
      <x:c r="G38" s="91"/>
      <x:c r="H38" s="91"/>
      <x:c r="I38" s="91"/>
      <x:c r="J38" s="93" t="n">
        <x:f>COUNTA(D38:I38)</x:f>
        <x:v>0</x:v>
      </x:c>
    </x:row>
    <x:row r="39" ht="22" customHeight="1">
      <x:c r="A39" s="85" t="n">
        <x:f>INT((ROW()-6)/7)+1</x:f>
        <x:v>5</x:v>
      </x:c>
      <x:c r="B39" s="86" t="n">
        <x:f>'Configuração'!$B$6+ROW()-6</x:f>
        <x:v>46284</x:v>
      </x:c>
      <x:c r="C39" s="85" t="str">
        <x:f>CHOOSE(WEEKDAY(B39),"dom","seg","ter","qua","qui","sex","sáb")</x:f>
        <x:v>sáb</x:v>
      </x:c>
      <x:c r="D39" s="91"/>
      <x:c r="E39" s="91"/>
      <x:c r="F39" s="91"/>
      <x:c r="G39" s="91"/>
      <x:c r="H39" s="91"/>
      <x:c r="I39" s="91"/>
      <x:c r="J39" s="93" t="n">
        <x:f>COUNTA(D39:I39)</x:f>
        <x:v>0</x:v>
      </x:c>
    </x:row>
    <x:row r="40" ht="22" customHeight="1">
      <x:c r="A40" s="85" t="n">
        <x:f>INT((ROW()-6)/7)+1</x:f>
        <x:v>5</x:v>
      </x:c>
      <x:c r="B40" s="86" t="n">
        <x:f>'Configuração'!$B$6+ROW()-6</x:f>
        <x:v>46285</x:v>
      </x:c>
      <x:c r="C40" s="85" t="str">
        <x:f>CHOOSE(WEEKDAY(B40),"dom","seg","ter","qua","qui","sex","sáb")</x:f>
        <x:v>dom</x:v>
      </x:c>
      <x:c r="D40" s="91"/>
      <x:c r="E40" s="91"/>
      <x:c r="F40" s="91"/>
      <x:c r="G40" s="91"/>
      <x:c r="H40" s="91"/>
      <x:c r="I40" s="91"/>
      <x:c r="J40" s="93" t="n">
        <x:f>COUNTA(D40:I40)</x:f>
        <x:v>0</x:v>
      </x:c>
    </x:row>
    <x:row r="41" ht="22" customHeight="1">
      <x:c r="A41" s="85" t="n">
        <x:f>INT((ROW()-6)/7)+1</x:f>
        <x:v>6</x:v>
      </x:c>
      <x:c r="B41" s="86" t="n">
        <x:f>'Configuração'!$B$6+ROW()-6</x:f>
        <x:v>46286</x:v>
      </x:c>
      <x:c r="C41" s="85" t="str">
        <x:f>CHOOSE(WEEKDAY(B41),"dom","seg","ter","qua","qui","sex","sáb")</x:f>
        <x:v>seg</x:v>
      </x:c>
      <x:c r="D41" s="91"/>
      <x:c r="E41" s="91"/>
      <x:c r="F41" s="91"/>
      <x:c r="G41" s="91"/>
      <x:c r="H41" s="91"/>
      <x:c r="I41" s="91"/>
      <x:c r="J41" s="93" t="n">
        <x:f>COUNTA(D41:I41)</x:f>
        <x:v>0</x:v>
      </x:c>
    </x:row>
    <x:row r="42" ht="22" customHeight="1">
      <x:c r="A42" s="85" t="n">
        <x:f>INT((ROW()-6)/7)+1</x:f>
        <x:v>6</x:v>
      </x:c>
      <x:c r="B42" s="86" t="n">
        <x:f>'Configuração'!$B$6+ROW()-6</x:f>
        <x:v>46287</x:v>
      </x:c>
      <x:c r="C42" s="85" t="str">
        <x:f>CHOOSE(WEEKDAY(B42),"dom","seg","ter","qua","qui","sex","sáb")</x:f>
        <x:v>ter</x:v>
      </x:c>
      <x:c r="D42" s="91"/>
      <x:c r="E42" s="91"/>
      <x:c r="F42" s="91"/>
      <x:c r="G42" s="91"/>
      <x:c r="H42" s="91"/>
      <x:c r="I42" s="91"/>
      <x:c r="J42" s="93" t="n">
        <x:f>COUNTA(D42:I42)</x:f>
        <x:v>0</x:v>
      </x:c>
    </x:row>
    <x:row r="43" ht="22" customHeight="1">
      <x:c r="A43" s="85" t="n">
        <x:f>INT((ROW()-6)/7)+1</x:f>
        <x:v>6</x:v>
      </x:c>
      <x:c r="B43" s="86" t="n">
        <x:f>'Configuração'!$B$6+ROW()-6</x:f>
        <x:v>46288</x:v>
      </x:c>
      <x:c r="C43" s="85" t="str">
        <x:f>CHOOSE(WEEKDAY(B43),"dom","seg","ter","qua","qui","sex","sáb")</x:f>
        <x:v>qua</x:v>
      </x:c>
      <x:c r="D43" s="91"/>
      <x:c r="E43" s="91"/>
      <x:c r="F43" s="91"/>
      <x:c r="G43" s="91"/>
      <x:c r="H43" s="91"/>
      <x:c r="I43" s="91"/>
      <x:c r="J43" s="93" t="n">
        <x:f>COUNTA(D43:I43)</x:f>
        <x:v>0</x:v>
      </x:c>
    </x:row>
    <x:row r="44" ht="22" customHeight="1">
      <x:c r="A44" s="85" t="n">
        <x:f>INT((ROW()-6)/7)+1</x:f>
        <x:v>6</x:v>
      </x:c>
      <x:c r="B44" s="86" t="n">
        <x:f>'Configuração'!$B$6+ROW()-6</x:f>
        <x:v>46289</x:v>
      </x:c>
      <x:c r="C44" s="85" t="str">
        <x:f>CHOOSE(WEEKDAY(B44),"dom","seg","ter","qua","qui","sex","sáb")</x:f>
        <x:v>qui</x:v>
      </x:c>
      <x:c r="D44" s="91"/>
      <x:c r="E44" s="91"/>
      <x:c r="F44" s="91"/>
      <x:c r="G44" s="91"/>
      <x:c r="H44" s="91"/>
      <x:c r="I44" s="91"/>
      <x:c r="J44" s="93" t="n">
        <x:f>COUNTA(D44:I44)</x:f>
        <x:v>0</x:v>
      </x:c>
    </x:row>
    <x:row r="45" ht="22" customHeight="1">
      <x:c r="A45" s="85" t="n">
        <x:f>INT((ROW()-6)/7)+1</x:f>
        <x:v>6</x:v>
      </x:c>
      <x:c r="B45" s="86" t="n">
        <x:f>'Configuração'!$B$6+ROW()-6</x:f>
        <x:v>46290</x:v>
      </x:c>
      <x:c r="C45" s="85" t="str">
        <x:f>CHOOSE(WEEKDAY(B45),"dom","seg","ter","qua","qui","sex","sáb")</x:f>
        <x:v>sex</x:v>
      </x:c>
      <x:c r="D45" s="91"/>
      <x:c r="E45" s="91"/>
      <x:c r="F45" s="91"/>
      <x:c r="G45" s="91"/>
      <x:c r="H45" s="91"/>
      <x:c r="I45" s="91"/>
      <x:c r="J45" s="93" t="n">
        <x:f>COUNTA(D45:I45)</x:f>
        <x:v>0</x:v>
      </x:c>
    </x:row>
    <x:row r="46" ht="22" customHeight="1">
      <x:c r="A46" s="85" t="n">
        <x:f>INT((ROW()-6)/7)+1</x:f>
        <x:v>6</x:v>
      </x:c>
      <x:c r="B46" s="86" t="n">
        <x:f>'Configuração'!$B$6+ROW()-6</x:f>
        <x:v>46291</x:v>
      </x:c>
      <x:c r="C46" s="85" t="str">
        <x:f>CHOOSE(WEEKDAY(B46),"dom","seg","ter","qua","qui","sex","sáb")</x:f>
        <x:v>sáb</x:v>
      </x:c>
      <x:c r="D46" s="91"/>
      <x:c r="E46" s="91"/>
      <x:c r="F46" s="91"/>
      <x:c r="G46" s="91"/>
      <x:c r="H46" s="91"/>
      <x:c r="I46" s="91"/>
      <x:c r="J46" s="93" t="n">
        <x:f>COUNTA(D46:I46)</x:f>
        <x:v>0</x:v>
      </x:c>
    </x:row>
    <x:row r="47" ht="22" customHeight="1">
      <x:c r="A47" s="85" t="n">
        <x:f>INT((ROW()-6)/7)+1</x:f>
        <x:v>6</x:v>
      </x:c>
      <x:c r="B47" s="86" t="n">
        <x:f>'Configuração'!$B$6+ROW()-6</x:f>
        <x:v>46292</x:v>
      </x:c>
      <x:c r="C47" s="85" t="str">
        <x:f>CHOOSE(WEEKDAY(B47),"dom","seg","ter","qua","qui","sex","sáb")</x:f>
        <x:v>dom</x:v>
      </x:c>
      <x:c r="D47" s="91"/>
      <x:c r="E47" s="91"/>
      <x:c r="F47" s="91"/>
      <x:c r="G47" s="91"/>
      <x:c r="H47" s="91"/>
      <x:c r="I47" s="91"/>
      <x:c r="J47" s="93" t="n">
        <x:f>COUNTA(D47:I47)</x:f>
        <x:v>0</x:v>
      </x:c>
    </x:row>
    <x:row r="48" ht="22" customHeight="1">
      <x:c r="A48" s="85" t="n">
        <x:f>INT((ROW()-6)/7)+1</x:f>
        <x:v>7</x:v>
      </x:c>
      <x:c r="B48" s="86" t="n">
        <x:f>'Configuração'!$B$6+ROW()-6</x:f>
        <x:v>46293</x:v>
      </x:c>
      <x:c r="C48" s="85" t="str">
        <x:f>CHOOSE(WEEKDAY(B48),"dom","seg","ter","qua","qui","sex","sáb")</x:f>
        <x:v>seg</x:v>
      </x:c>
      <x:c r="D48" s="91"/>
      <x:c r="E48" s="91"/>
      <x:c r="F48" s="91"/>
      <x:c r="G48" s="91"/>
      <x:c r="H48" s="91"/>
      <x:c r="I48" s="91"/>
      <x:c r="J48" s="93" t="n">
        <x:f>COUNTA(D48:I48)</x:f>
        <x:v>0</x:v>
      </x:c>
    </x:row>
    <x:row r="49" ht="22" customHeight="1">
      <x:c r="A49" s="85" t="n">
        <x:f>INT((ROW()-6)/7)+1</x:f>
        <x:v>7</x:v>
      </x:c>
      <x:c r="B49" s="86" t="n">
        <x:f>'Configuração'!$B$6+ROW()-6</x:f>
        <x:v>46294</x:v>
      </x:c>
      <x:c r="C49" s="85" t="str">
        <x:f>CHOOSE(WEEKDAY(B49),"dom","seg","ter","qua","qui","sex","sáb")</x:f>
        <x:v>ter</x:v>
      </x:c>
      <x:c r="D49" s="91"/>
      <x:c r="E49" s="91"/>
      <x:c r="F49" s="91"/>
      <x:c r="G49" s="91"/>
      <x:c r="H49" s="91"/>
      <x:c r="I49" s="91"/>
      <x:c r="J49" s="93" t="n">
        <x:f>COUNTA(D49:I49)</x:f>
        <x:v>0</x:v>
      </x:c>
    </x:row>
    <x:row r="50" ht="22" customHeight="1">
      <x:c r="A50" s="85" t="n">
        <x:f>INT((ROW()-6)/7)+1</x:f>
        <x:v>7</x:v>
      </x:c>
      <x:c r="B50" s="86" t="n">
        <x:f>'Configuração'!$B$6+ROW()-6</x:f>
        <x:v>46295</x:v>
      </x:c>
      <x:c r="C50" s="85" t="str">
        <x:f>CHOOSE(WEEKDAY(B50),"dom","seg","ter","qua","qui","sex","sáb")</x:f>
        <x:v>qua</x:v>
      </x:c>
      <x:c r="D50" s="91"/>
      <x:c r="E50" s="91"/>
      <x:c r="F50" s="91"/>
      <x:c r="G50" s="91"/>
      <x:c r="H50" s="91"/>
      <x:c r="I50" s="91"/>
      <x:c r="J50" s="93" t="n">
        <x:f>COUNTA(D50:I50)</x:f>
        <x:v>0</x:v>
      </x:c>
    </x:row>
    <x:row r="51" ht="22" customHeight="1">
      <x:c r="A51" s="85" t="n">
        <x:f>INT((ROW()-6)/7)+1</x:f>
        <x:v>7</x:v>
      </x:c>
      <x:c r="B51" s="86" t="n">
        <x:f>'Configuração'!$B$6+ROW()-6</x:f>
        <x:v>46296</x:v>
      </x:c>
      <x:c r="C51" s="85" t="str">
        <x:f>CHOOSE(WEEKDAY(B51),"dom","seg","ter","qua","qui","sex","sáb")</x:f>
        <x:v>qui</x:v>
      </x:c>
      <x:c r="D51" s="91"/>
      <x:c r="E51" s="91"/>
      <x:c r="F51" s="91"/>
      <x:c r="G51" s="91"/>
      <x:c r="H51" s="91"/>
      <x:c r="I51" s="91"/>
      <x:c r="J51" s="93" t="n">
        <x:f>COUNTA(D51:I51)</x:f>
        <x:v>0</x:v>
      </x:c>
    </x:row>
    <x:row r="52" ht="22" customHeight="1">
      <x:c r="A52" s="85" t="n">
        <x:f>INT((ROW()-6)/7)+1</x:f>
        <x:v>7</x:v>
      </x:c>
      <x:c r="B52" s="86" t="n">
        <x:f>'Configuração'!$B$6+ROW()-6</x:f>
        <x:v>46297</x:v>
      </x:c>
      <x:c r="C52" s="85" t="str">
        <x:f>CHOOSE(WEEKDAY(B52),"dom","seg","ter","qua","qui","sex","sáb")</x:f>
        <x:v>sex</x:v>
      </x:c>
      <x:c r="D52" s="91"/>
      <x:c r="E52" s="91"/>
      <x:c r="F52" s="91"/>
      <x:c r="G52" s="91"/>
      <x:c r="H52" s="91"/>
      <x:c r="I52" s="91"/>
      <x:c r="J52" s="93" t="n">
        <x:f>COUNTA(D52:I52)</x:f>
        <x:v>0</x:v>
      </x:c>
    </x:row>
    <x:row r="53" ht="22" customHeight="1">
      <x:c r="A53" s="85" t="n">
        <x:f>INT((ROW()-6)/7)+1</x:f>
        <x:v>7</x:v>
      </x:c>
      <x:c r="B53" s="86" t="n">
        <x:f>'Configuração'!$B$6+ROW()-6</x:f>
        <x:v>46298</x:v>
      </x:c>
      <x:c r="C53" s="85" t="str">
        <x:f>CHOOSE(WEEKDAY(B53),"dom","seg","ter","qua","qui","sex","sáb")</x:f>
        <x:v>sáb</x:v>
      </x:c>
      <x:c r="D53" s="91"/>
      <x:c r="E53" s="91"/>
      <x:c r="F53" s="91"/>
      <x:c r="G53" s="91"/>
      <x:c r="H53" s="91"/>
      <x:c r="I53" s="91"/>
      <x:c r="J53" s="93" t="n">
        <x:f>COUNTA(D53:I53)</x:f>
        <x:v>0</x:v>
      </x:c>
    </x:row>
    <x:row r="54" ht="22" customHeight="1">
      <x:c r="A54" s="85" t="n">
        <x:f>INT((ROW()-6)/7)+1</x:f>
        <x:v>7</x:v>
      </x:c>
      <x:c r="B54" s="86" t="n">
        <x:f>'Configuração'!$B$6+ROW()-6</x:f>
        <x:v>46299</x:v>
      </x:c>
      <x:c r="C54" s="85" t="str">
        <x:f>CHOOSE(WEEKDAY(B54),"dom","seg","ter","qua","qui","sex","sáb")</x:f>
        <x:v>dom</x:v>
      </x:c>
      <x:c r="D54" s="91"/>
      <x:c r="E54" s="91"/>
      <x:c r="F54" s="91"/>
      <x:c r="G54" s="91"/>
      <x:c r="H54" s="91"/>
      <x:c r="I54" s="91"/>
      <x:c r="J54" s="93" t="n">
        <x:f>COUNTA(D54:I54)</x:f>
        <x:v>0</x:v>
      </x:c>
    </x:row>
    <x:row r="55" ht="22" customHeight="1">
      <x:c r="A55" s="85" t="n">
        <x:f>INT((ROW()-6)/7)+1</x:f>
        <x:v>8</x:v>
      </x:c>
      <x:c r="B55" s="86" t="n">
        <x:f>'Configuração'!$B$6+ROW()-6</x:f>
        <x:v>46300</x:v>
      </x:c>
      <x:c r="C55" s="85" t="str">
        <x:f>CHOOSE(WEEKDAY(B55),"dom","seg","ter","qua","qui","sex","sáb")</x:f>
        <x:v>seg</x:v>
      </x:c>
      <x:c r="D55" s="91"/>
      <x:c r="E55" s="91"/>
      <x:c r="F55" s="91"/>
      <x:c r="G55" s="91"/>
      <x:c r="H55" s="91"/>
      <x:c r="I55" s="91"/>
      <x:c r="J55" s="93" t="n">
        <x:f>COUNTA(D55:I55)</x:f>
        <x:v>0</x:v>
      </x:c>
    </x:row>
    <x:row r="56" ht="22" customHeight="1">
      <x:c r="A56" s="85" t="n">
        <x:f>INT((ROW()-6)/7)+1</x:f>
        <x:v>8</x:v>
      </x:c>
      <x:c r="B56" s="86" t="n">
        <x:f>'Configuração'!$B$6+ROW()-6</x:f>
        <x:v>46301</x:v>
      </x:c>
      <x:c r="C56" s="85" t="str">
        <x:f>CHOOSE(WEEKDAY(B56),"dom","seg","ter","qua","qui","sex","sáb")</x:f>
        <x:v>ter</x:v>
      </x:c>
      <x:c r="D56" s="91"/>
      <x:c r="E56" s="91"/>
      <x:c r="F56" s="91"/>
      <x:c r="G56" s="91"/>
      <x:c r="H56" s="91"/>
      <x:c r="I56" s="91"/>
      <x:c r="J56" s="93" t="n">
        <x:f>COUNTA(D56:I56)</x:f>
        <x:v>0</x:v>
      </x:c>
    </x:row>
    <x:row r="57" ht="22" customHeight="1">
      <x:c r="A57" s="85" t="n">
        <x:f>INT((ROW()-6)/7)+1</x:f>
        <x:v>8</x:v>
      </x:c>
      <x:c r="B57" s="86" t="n">
        <x:f>'Configuração'!$B$6+ROW()-6</x:f>
        <x:v>46302</x:v>
      </x:c>
      <x:c r="C57" s="85" t="str">
        <x:f>CHOOSE(WEEKDAY(B57),"dom","seg","ter","qua","qui","sex","sáb")</x:f>
        <x:v>qua</x:v>
      </x:c>
      <x:c r="D57" s="91"/>
      <x:c r="E57" s="91"/>
      <x:c r="F57" s="91"/>
      <x:c r="G57" s="91"/>
      <x:c r="H57" s="91"/>
      <x:c r="I57" s="91"/>
      <x:c r="J57" s="93" t="n">
        <x:f>COUNTA(D57:I57)</x:f>
        <x:v>0</x:v>
      </x:c>
    </x:row>
    <x:row r="58" ht="22" customHeight="1">
      <x:c r="A58" s="85" t="n">
        <x:f>INT((ROW()-6)/7)+1</x:f>
        <x:v>8</x:v>
      </x:c>
      <x:c r="B58" s="86" t="n">
        <x:f>'Configuração'!$B$6+ROW()-6</x:f>
        <x:v>46303</x:v>
      </x:c>
      <x:c r="C58" s="85" t="str">
        <x:f>CHOOSE(WEEKDAY(B58),"dom","seg","ter","qua","qui","sex","sáb")</x:f>
        <x:v>qui</x:v>
      </x:c>
      <x:c r="D58" s="91"/>
      <x:c r="E58" s="91"/>
      <x:c r="F58" s="91"/>
      <x:c r="G58" s="91"/>
      <x:c r="H58" s="91"/>
      <x:c r="I58" s="91"/>
      <x:c r="J58" s="93" t="n">
        <x:f>COUNTA(D58:I58)</x:f>
        <x:v>0</x:v>
      </x:c>
    </x:row>
    <x:row r="59" ht="22" customHeight="1">
      <x:c r="A59" s="85" t="n">
        <x:f>INT((ROW()-6)/7)+1</x:f>
        <x:v>8</x:v>
      </x:c>
      <x:c r="B59" s="86" t="n">
        <x:f>'Configuração'!$B$6+ROW()-6</x:f>
        <x:v>46304</x:v>
      </x:c>
      <x:c r="C59" s="85" t="str">
        <x:f>CHOOSE(WEEKDAY(B59),"dom","seg","ter","qua","qui","sex","sáb")</x:f>
        <x:v>sex</x:v>
      </x:c>
      <x:c r="D59" s="91"/>
      <x:c r="E59" s="91"/>
      <x:c r="F59" s="91"/>
      <x:c r="G59" s="91"/>
      <x:c r="H59" s="91"/>
      <x:c r="I59" s="91"/>
      <x:c r="J59" s="93" t="n">
        <x:f>COUNTA(D59:I59)</x:f>
        <x:v>0</x:v>
      </x:c>
    </x:row>
    <x:row r="60" ht="22" customHeight="1">
      <x:c r="A60" s="85" t="n">
        <x:f>INT((ROW()-6)/7)+1</x:f>
        <x:v>8</x:v>
      </x:c>
      <x:c r="B60" s="86" t="n">
        <x:f>'Configuração'!$B$6+ROW()-6</x:f>
        <x:v>46305</x:v>
      </x:c>
      <x:c r="C60" s="85" t="str">
        <x:f>CHOOSE(WEEKDAY(B60),"dom","seg","ter","qua","qui","sex","sáb")</x:f>
        <x:v>sáb</x:v>
      </x:c>
      <x:c r="D60" s="91"/>
      <x:c r="E60" s="91"/>
      <x:c r="F60" s="91"/>
      <x:c r="G60" s="91"/>
      <x:c r="H60" s="91"/>
      <x:c r="I60" s="91"/>
      <x:c r="J60" s="93" t="n">
        <x:f>COUNTA(D60:I60)</x:f>
        <x:v>0</x:v>
      </x:c>
    </x:row>
    <x:row r="61" ht="22" customHeight="1">
      <x:c r="A61" s="85" t="n">
        <x:f>INT((ROW()-6)/7)+1</x:f>
        <x:v>8</x:v>
      </x:c>
      <x:c r="B61" s="86" t="n">
        <x:f>'Configuração'!$B$6+ROW()-6</x:f>
        <x:v>46306</x:v>
      </x:c>
      <x:c r="C61" s="85" t="str">
        <x:f>CHOOSE(WEEKDAY(B61),"dom","seg","ter","qua","qui","sex","sáb")</x:f>
        <x:v>dom</x:v>
      </x:c>
      <x:c r="D61" s="91"/>
      <x:c r="E61" s="91"/>
      <x:c r="F61" s="91"/>
      <x:c r="G61" s="91"/>
      <x:c r="H61" s="91"/>
      <x:c r="I61" s="91"/>
      <x:c r="J61" s="93" t="n">
        <x:f>COUNTA(D61:I61)</x:f>
        <x:v>0</x:v>
      </x:c>
    </x:row>
  </x:sheetData>
  <x:mergeCells>
    <x:mergeCell ref="A1:J2"/>
    <x:mergeCell ref="A3:J3"/>
  </x:mergeCells>
  <x:conditionalFormatting sqref="D6:I61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1">
    <x:dataValidation type="list" sqref="D6:I61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6" max="6" width="15" hidden="0" customWidth="1"/>
    <x:col min="7" max="7" width="15" hidden="0" customWidth="1"/>
  </x:cols>
  <x:sheetData>
    <x:row r="1" ht="38" customHeight="1">
      <x:c r="A1" s="4" t="str">
        <x:v>Painel de consistência</x:v>
      </x:c>
      <x:c r="B1" s="4" t="str">
        <x:v>Painel de consistência</x:v>
      </x:c>
      <x:c r="C1" s="4" t="str">
        <x:v>Painel de consistência</x:v>
      </x:c>
      <x:c r="D1" s="4" t="str">
        <x:v>Painel de consistência</x:v>
      </x:c>
      <x:c r="E1" s="4" t="str">
        <x:v>Painel de consistência</x:v>
      </x:c>
      <x:c r="F1" s="4" t="str">
        <x:v>Painel de consistência</x:v>
      </x:c>
      <x:c r="G1" s="4" t="str">
        <x:v>Painel de consistência</x:v>
      </x:c>
      <x:c r="H1" s="4" t="str">
        <x:v>Painel de consistência</x:v>
      </x:c>
      <x:c r="I1" s="4" t="str">
        <x:v>Painel de consistência</x:v>
      </x:c>
      <x:c r="J1" s="4" t="str">
        <x:v>Painel de consistência</x:v>
      </x:c>
    </x:row>
    <x:row r="2" ht="38" customHeight="1">
      <x:c r="A2" s="4" t="str">
        <x:v>Painel de consistência</x:v>
      </x:c>
      <x:c r="B2" s="4" t="str">
        <x:v>Painel de consistência</x:v>
      </x:c>
      <x:c r="C2" s="4" t="str">
        <x:v>Painel de consistência</x:v>
      </x:c>
      <x:c r="D2" s="4" t="str">
        <x:v>Painel de consistência</x:v>
      </x:c>
      <x:c r="E2" s="4" t="str">
        <x:v>Painel de consistência</x:v>
      </x:c>
      <x:c r="F2" s="4" t="str">
        <x:v>Painel de consistência</x:v>
      </x:c>
      <x:c r="G2" s="4" t="str">
        <x:v>Painel de consistência</x:v>
      </x:c>
      <x:c r="H2" s="4" t="str">
        <x:v>Painel de consistência</x:v>
      </x:c>
      <x:c r="I2" s="4" t="str">
        <x:v>Painel de consistência</x:v>
      </x:c>
      <x:c r="J2" s="4" t="str">
        <x:v>Painel de consistência</x:v>
      </x:c>
    </x:row>
    <x:row r="3" ht="30" customHeight="1">
      <x:c r="A3" s="8" t="str">
        <x:v>O painel resume as 8 semanas. Células em branco no registro não contam como falha.</x:v>
      </x:c>
      <x:c r="B3" s="8" t="str">
        <x:v>O painel resume as 8 semanas. Células em branco no registro não contam como falha.</x:v>
      </x:c>
      <x:c r="C3" s="8" t="str">
        <x:v>O painel resume as 8 semanas. Células em branco no registro não contam como falha.</x:v>
      </x:c>
      <x:c r="D3" s="8" t="str">
        <x:v>O painel resume as 8 semanas. Células em branco no registro não contam como falha.</x:v>
      </x:c>
      <x:c r="E3" s="8" t="str">
        <x:v>O painel resume as 8 semanas. Células em branco no registro não contam como falha.</x:v>
      </x:c>
      <x:c r="F3" s="8" t="str">
        <x:v>O painel resume as 8 semanas. Células em branco no registro não contam como falha.</x:v>
      </x:c>
      <x:c r="G3" s="8" t="str">
        <x:v>O painel resume as 8 semanas. Células em branco no registro não contam como falha.</x:v>
      </x:c>
      <x:c r="H3" s="8" t="str">
        <x:v>O painel resume as 8 semanas. Células em branco no registro não contam como falha.</x:v>
      </x:c>
      <x:c r="I3" s="8" t="str">
        <x:v>O painel resume as 8 semanas. Células em branco no registro não contam como falha.</x:v>
      </x:c>
      <x:c r="J3" s="8" t="str">
        <x:v>O painel resume as 8 semanas. Células em branco no registro não contam como falha.</x:v>
      </x:c>
    </x:row>
    <x:row r="5" ht="28" customHeight="1">
      <x:c r="A5" s="56" t="str">
        <x:v>Indicador</x:v>
      </x:c>
      <x:c r="B5" s="57" t="str">
        <x:v>Resultado</x:v>
      </x:c>
    </x:row>
    <x:row r="6">
      <x:c r="A6" s="94" t="str">
        <x:v>Consistência geral</x:v>
      </x:c>
      <x:c r="B6" s="97" t="n">
        <x:f>IFERROR(COUNTIF('Registro 8 Semanas'!D6:I61,1)/COUNTA('Registro 8 Semanas'!D6:I61),0)</x:f>
        <x:v>0</x:v>
      </x:c>
    </x:row>
    <x:row r="7">
      <x:c r="A7" s="94" t="str">
        <x:v>Execuções registradas</x:v>
      </x:c>
      <x:c r="B7" s="98" t="n">
        <x:f>COUNTIF('Registro 8 Semanas'!D6:I61,1)</x:f>
        <x:v>0</x:v>
      </x:c>
    </x:row>
    <x:row r="8">
      <x:c r="A8" s="94" t="str">
        <x:v>Dias com algum registro</x:v>
      </x:c>
      <x:c r="B8" s="98" t="n">
        <x:f>COUNTIF('Registro 8 Semanas'!J6:J61,"&gt;0")</x:f>
        <x:v>0</x:v>
      </x:c>
    </x:row>
    <x:row r="10" ht="28" customHeight="1">
      <x:c r="A10" s="56" t="str">
        <x:v>Hábito</x:v>
      </x:c>
      <x:c r="B10" s="64" t="str">
        <x:v>Meta/semana</x:v>
      </x:c>
      <x:c r="C10" s="64" t="str">
        <x:v>Concluído</x:v>
      </x:c>
      <x:c r="D10" s="57" t="str">
        <x:v>Consistência</x:v>
      </x:c>
      <x:c r="F10" s="56" t="str">
        <x:v>Semana</x:v>
      </x:c>
      <x:c r="G10" s="57" t="str">
        <x:v>Consistência</x:v>
      </x:c>
      <x:c r="K10" t="str">
        <x:v>Hábito</x:v>
      </x:c>
      <x:c r="L10" t="str">
        <x:v>Consistência</x:v>
      </x:c>
    </x:row>
    <x:row r="11">
      <x:c r="A11" s="102" t="str">
        <x:f>'Configuração'!A10</x:f>
        <x:v>Beber água ao acordar</x:v>
      </x:c>
      <x:c r="B11" s="102" t="n">
        <x:f>'Configuração'!C10</x:f>
        <x:v>7</x:v>
      </x:c>
      <x:c r="C11" s="102" t="n">
        <x:f>COUNTIF('Registro 8 Semanas'!D6:D61,1)</x:f>
        <x:v>0</x:v>
      </x:c>
      <x:c r="D11" s="104" t="n">
        <x:f>IFERROR(C11/(B11*8),0)</x:f>
        <x:v>0</x:v>
      </x:c>
      <x:c r="F11" s="102" t="n">
        <x:v>1</x:v>
      </x:c>
      <x:c r="G11" s="104" t="n">
        <x:f>IFERROR(COUNTIF('Registro 8 Semanas'!D6:I12,1)/COUNTA('Registro 8 Semanas'!D6:I12),0)</x:f>
        <x:v>0</x:v>
      </x:c>
      <x:c r="K11" t="str">
        <x:f>A11</x:f>
        <x:v>Beber água ao acordar</x:v>
      </x:c>
      <x:c r="L11" t="n">
        <x:f>D11</x:f>
        <x:v>0</x:v>
      </x:c>
    </x:row>
    <x:row r="12">
      <x:c r="A12" s="103" t="str">
        <x:f>'Configuração'!A11</x:f>
        <x:v>Movimento</x:v>
      </x:c>
      <x:c r="B12" s="103" t="n">
        <x:f>'Configuração'!C11</x:f>
        <x:v>5</x:v>
      </x:c>
      <x:c r="C12" s="103" t="n">
        <x:f>COUNTIF('Registro 8 Semanas'!E6:E61,1)</x:f>
        <x:v>0</x:v>
      </x:c>
      <x:c r="D12" s="105" t="n">
        <x:f>IFERROR(C12/(B12*8),0)</x:f>
        <x:v>0</x:v>
      </x:c>
      <x:c r="F12" s="103" t="n">
        <x:v>2</x:v>
      </x:c>
      <x:c r="G12" s="105" t="n">
        <x:f>IFERROR(COUNTIF('Registro 8 Semanas'!D13:I19,1)/COUNTA('Registro 8 Semanas'!D13:I19),0)</x:f>
        <x:v>0</x:v>
      </x:c>
      <x:c r="K12" t="str">
        <x:f>A12</x:f>
        <x:v>Movimento</x:v>
      </x:c>
      <x:c r="L12" t="n">
        <x:f>D12</x:f>
        <x:v>0</x:v>
      </x:c>
    </x:row>
    <x:row r="13">
      <x:c r="A13" s="103" t="str">
        <x:f>'Configuração'!A12</x:f>
        <x:v>Leitura</x:v>
      </x:c>
      <x:c r="B13" s="103" t="n">
        <x:f>'Configuração'!C12</x:f>
        <x:v>5</x:v>
      </x:c>
      <x:c r="C13" s="103" t="n">
        <x:f>COUNTIF('Registro 8 Semanas'!F6:F61,1)</x:f>
        <x:v>0</x:v>
      </x:c>
      <x:c r="D13" s="105" t="n">
        <x:f>IFERROR(C13/(B13*8),0)</x:f>
        <x:v>0</x:v>
      </x:c>
      <x:c r="F13" s="103" t="n">
        <x:v>3</x:v>
      </x:c>
      <x:c r="G13" s="105" t="n">
        <x:f>IFERROR(COUNTIF('Registro 8 Semanas'!D20:I26,1)/COUNTA('Registro 8 Semanas'!D20:I26),0)</x:f>
        <x:v>0</x:v>
      </x:c>
      <x:c r="K13" t="str">
        <x:f>A13</x:f>
        <x:v>Leitura</x:v>
      </x:c>
      <x:c r="L13" t="n">
        <x:f>D13</x:f>
        <x:v>0</x:v>
      </x:c>
    </x:row>
    <x:row r="14">
      <x:c r="A14" s="103" t="str">
        <x:f>'Configuração'!A13</x:f>
        <x:v>Planejar o dia</x:v>
      </x:c>
      <x:c r="B14" s="103" t="n">
        <x:f>'Configuração'!C13</x:f>
        <x:v>5</x:v>
      </x:c>
      <x:c r="C14" s="103" t="n">
        <x:f>COUNTIF('Registro 8 Semanas'!G6:G61,1)</x:f>
        <x:v>0</x:v>
      </x:c>
      <x:c r="D14" s="105" t="n">
        <x:f>IFERROR(C14/(B14*8),0)</x:f>
        <x:v>0</x:v>
      </x:c>
      <x:c r="F14" s="103" t="n">
        <x:v>4</x:v>
      </x:c>
      <x:c r="G14" s="105" t="n">
        <x:f>IFERROR(COUNTIF('Registro 8 Semanas'!D27:I33,1)/COUNTA('Registro 8 Semanas'!D27:I33),0)</x:f>
        <x:v>0</x:v>
      </x:c>
      <x:c r="K14" t="str">
        <x:f>A14</x:f>
        <x:v>Planejar o dia</x:v>
      </x:c>
      <x:c r="L14" t="n">
        <x:f>D14</x:f>
        <x:v>0</x:v>
      </x:c>
    </x:row>
    <x:row r="15">
      <x:c r="A15" s="103" t="str">
        <x:f>'Configuração'!A14</x:f>
        <x:v>Pausa sem tela</x:v>
      </x:c>
      <x:c r="B15" s="103" t="n">
        <x:f>'Configuração'!C14</x:f>
        <x:v>7</x:v>
      </x:c>
      <x:c r="C15" s="103" t="n">
        <x:f>COUNTIF('Registro 8 Semanas'!H6:H61,1)</x:f>
        <x:v>0</x:v>
      </x:c>
      <x:c r="D15" s="105" t="n">
        <x:f>IFERROR(C15/(B15*8),0)</x:f>
        <x:v>0</x:v>
      </x:c>
      <x:c r="F15" s="103" t="n">
        <x:v>5</x:v>
      </x:c>
      <x:c r="G15" s="105" t="n">
        <x:f>IFERROR(COUNTIF('Registro 8 Semanas'!D34:I40,1)/COUNTA('Registro 8 Semanas'!D34:I40),0)</x:f>
        <x:v>0</x:v>
      </x:c>
      <x:c r="K15" t="str">
        <x:f>A15</x:f>
        <x:v>Pausa sem tela</x:v>
      </x:c>
      <x:c r="L15" t="n">
        <x:f>D15</x:f>
        <x:v>0</x:v>
      </x:c>
    </x:row>
    <x:row r="16">
      <x:c r="A16" s="103" t="str">
        <x:f>'Configuração'!A15</x:f>
        <x:v>Fechar o dia</x:v>
      </x:c>
      <x:c r="B16" s="103" t="n">
        <x:f>'Configuração'!C15</x:f>
        <x:v>5</x:v>
      </x:c>
      <x:c r="C16" s="103" t="n">
        <x:f>COUNTIF('Registro 8 Semanas'!I6:I61,1)</x:f>
        <x:v>0</x:v>
      </x:c>
      <x:c r="D16" s="105" t="n">
        <x:f>IFERROR(C16/(B16*8),0)</x:f>
        <x:v>0</x:v>
      </x:c>
      <x:c r="F16" s="103" t="n">
        <x:v>6</x:v>
      </x:c>
      <x:c r="G16" s="105" t="n">
        <x:f>IFERROR(COUNTIF('Registro 8 Semanas'!D41:I47,1)/COUNTA('Registro 8 Semanas'!D41:I47),0)</x:f>
        <x:v>0</x:v>
      </x:c>
      <x:c r="K16" t="str">
        <x:f>A16</x:f>
        <x:v>Fechar o dia</x:v>
      </x:c>
      <x:c r="L16" t="n">
        <x:f>D16</x:f>
        <x:v>0</x:v>
      </x:c>
    </x:row>
    <x:row r="17">
      <x:c r="F17" s="103" t="n">
        <x:v>7</x:v>
      </x:c>
      <x:c r="G17" s="105" t="n">
        <x:f>IFERROR(COUNTIF('Registro 8 Semanas'!D48:I54,1)/COUNTA('Registro 8 Semanas'!D48:I54),0)</x:f>
        <x:v>0</x:v>
      </x:c>
    </x:row>
    <x:row r="18">
      <x:c r="F18" s="103" t="n">
        <x:v>8</x:v>
      </x:c>
      <x:c r="G18" s="105" t="n">
        <x:f>IFERROR(COUNTIF('Registro 8 Semanas'!D55:I61,1)/COUNTA('Registro 8 Semanas'!D55:I61),0)</x:f>
        <x:v>0</x:v>
      </x:c>
    </x:row>
  </x:sheetData>
  <x:mergeCells>
    <x:mergeCell ref="A1:J2"/>
    <x:mergeCell ref="A3:J3"/>
  </x:mergeCells>
  <x:pageMargins left="0.7" right="0.7" top="0.75" bottom="0.75" header="0.3" footer="0.3"/>
  <x:drawing xmlns:r="http://schemas.openxmlformats.org/officeDocument/2006/relationships" r:id="R8311694864014105"/>
</x:worksheet>
</file>