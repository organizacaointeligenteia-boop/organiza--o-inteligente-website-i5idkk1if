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50738864041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ce Aqui" sheetId="1" r:id="R4942d90148b84e31"/>
    <x:sheet xmlns:r="http://schemas.openxmlformats.org/officeDocument/2006/relationships" name="Configuração" sheetId="2" r:id="R92e4c1ffa1c84f0d"/>
    <x:sheet xmlns:r="http://schemas.openxmlformats.org/officeDocument/2006/relationships" name="Rastreador Mensal" sheetId="3" r:id="R8a94227894cd422d"/>
    <x:sheet xmlns:r="http://schemas.openxmlformats.org/officeDocument/2006/relationships" name="Relatório Mensal" sheetId="4" r:id="R0255c8509c51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13">
    <x:font>
      <x:sz val="11"/>
      <x:name val="Carlito"/>
    </x:font>
    <x:font>
      <x:b/>
      <x:sz val="20"/>
      <x:color rgb="FFFFFFFF"/>
      <x:name val="Carlito"/>
    </x:font>
    <x:font>
      <x:sz val="10"/>
      <x:color rgb="FF173B63"/>
      <x:name val="Carlito"/>
    </x:font>
    <x:font>
      <x:b/>
      <x:sz val="11"/>
      <x:color rgb="FF14966F"/>
      <x:name val="Carlito"/>
    </x:font>
    <x:font>
      <x:b/>
      <x:sz val="12"/>
      <x:color rgb="FFFFFFFF"/>
      <x:name val="Carlito"/>
    </x:font>
    <x:font>
      <x:b/>
      <x:sz val="11"/>
      <x:color rgb="FF173B63"/>
      <x:name val="Carlito"/>
    </x:font>
    <x:font>
      <x:sz val="9"/>
      <x:color rgb="FF131820"/>
      <x:name val="Carlito"/>
    </x:font>
    <x:font>
      <x:b/>
      <x:sz val="9"/>
      <x:color rgb="FFFFFFFF"/>
      <x:name val="Carlito"/>
    </x:font>
    <x:font>
      <x:sz val="11"/>
      <x:color rgb="FF131820"/>
      <x:name val="Carlito"/>
    </x:font>
    <x:font>
      <x:b/>
      <x:sz val="8"/>
      <x:color rgb="FF14966F"/>
      <x:name val="Carlito"/>
    </x:font>
    <x:font>
      <x:sz val="8"/>
      <x:color rgb="FF131820"/>
      <x:name val="Carlito"/>
    </x:font>
    <x:font>
      <x:b/>
      <x:sz val="8"/>
      <x:color rgb="FF131820"/>
      <x:name val="Carlito"/>
    </x:font>
    <x:font>
      <x:b/>
      <x:sz val="13"/>
      <x:color rgb="FF14966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3"/>
      </x:patternFill>
    </x:fill>
    <x:fill>
      <x:patternFill patternType="solid">
        <x:fgColor rgb="FFEAF2FA"/>
      </x:patternFill>
    </x:fill>
    <x:fill>
      <x:patternFill patternType="solid">
        <x:fgColor rgb="FF265C97"/>
      </x:patternFill>
    </x:fill>
    <x:fill>
      <x:patternFill patternType="solid">
        <x:fgColor rgb="FFF8FAFC"/>
      </x:patternFill>
    </x:fill>
    <x:fill>
      <x:patternFill patternType="solid">
        <x:fgColor rgb="FFE8F6F1"/>
      </x:patternFill>
    </x:fill>
    <x:fill>
      <x:patternFill patternType="solid">
        <x:fgColor rgb="FFFFF7DC"/>
      </x:patternFill>
    </x:fill>
    <x:fill>
      <x:patternFill patternType="solid">
        <x:fgColor rgb="FFFFFFFF"/>
      </x:patternFill>
    </x:fill>
  </x:fills>
  <x:borders count="15">
    <x:border/>
    <x:border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bottom style="thin">
        <x:color rgb="FFD6E0EA"/>
      </x:bottom>
    </x:border>
    <x:border>
      <x:left style="thin">
        <x:color rgb="FFD6E0EA"/>
      </x:left>
      <x:bottom style="thin">
        <x:color rgb="FFD6E0EA"/>
      </x:bottom>
    </x:border>
    <x:border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right style="thin">
        <x:color rgb="FFD6E0EA"/>
      </x:right>
      <x:top style="thin">
        <x:color rgb="FFD6E0EA"/>
      </x:top>
      <x:bottom style="thin">
        <x:color rgb="FFD6E0EA"/>
      </x:bottom>
    </x:border>
    <x:border>
      <x:left style="thin">
        <x:color rgb="FFD6E0EA"/>
      </x:left>
      <x:top style="thin">
        <x:color rgb="FFD6E0EA"/>
      </x:top>
      <x:bottom style="thin">
        <x:color rgb="FFD6E0EA"/>
      </x:bottom>
    </x:border>
    <x:border>
      <x:right style="thin">
        <x:color rgb="FFD6E0EA"/>
      </x:right>
      <x:top style="thin">
        <x:color rgb="FFD6E0EA"/>
      </x:top>
    </x:border>
    <x:border>
      <x:left style="thin">
        <x:color rgb="FFD6E0EA"/>
      </x:left>
      <x:right style="thin">
        <x:color rgb="FFD6E0EA"/>
      </x:right>
      <x:top style="thin">
        <x:color rgb="FFD6E0EA"/>
      </x:top>
    </x:border>
    <x:border>
      <x:left style="thin">
        <x:color rgb="FFD6E0EA"/>
      </x:left>
      <x:top style="thin">
        <x:color rgb="FFD6E0EA"/>
      </x:top>
    </x:border>
    <x:border>
      <x:left style="thin">
        <x:color rgb="FF173B63"/>
      </x:left>
      <x:top style="thin">
        <x:color rgb="FF173B63"/>
      </x:top>
      <x:bottom style="thin">
        <x:color rgb="FF173B63"/>
      </x:bottom>
    </x:border>
    <x:border>
      <x:right style="thin">
        <x:color rgb="FF173B63"/>
      </x:right>
      <x:top style="thin">
        <x:color rgb="FF173B63"/>
      </x:top>
      <x:bottom style="thin">
        <x:color rgb="FF173B63"/>
      </x:bottom>
    </x:border>
    <x:border>
      <x:top style="thin">
        <x:color rgb="FF173B63"/>
      </x:top>
      <x:bottom style="thin">
        <x:color rgb="FF173B63"/>
      </x:bottom>
    </x:border>
    <x:border>
      <x:bottom style="thin">
        <x:color rgb="FFD6E0EA"/>
      </x:bottom>
    </x:border>
    <x:border>
      <x:top style="thin">
        <x:color rgb="FFD6E0EA"/>
      </x:top>
      <x:bottom style="thin">
        <x:color rgb="FFD6E0EA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horizontal="center" wrapText="1"/>
    </x:xf>
    <x:xf numFmtId="0" fontId="7" fillId="4" borderId="11" xfId="0" applyNumberFormat="1" applyFont="1" applyFill="1" applyBorder="1" applyAlignment="1">
      <x:alignment horizontal="center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200" fontId="8" fillId="7" borderId="0" xfId="0" applyNumberFormat="1" applyFont="1" applyFill="1" applyBorder="1"/>
    <x:xf numFmtId="0" fontId="7" fillId="4" borderId="12" xfId="0" applyNumberFormat="1" applyFont="1" applyFill="1" applyBorder="1"/>
    <x:xf numFmtId="0" fontId="7" fillId="4" borderId="12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3" xfId="0" applyNumberFormat="1" applyFont="1" applyFill="1" applyBorder="1"/>
    <x:xf numFmtId="0" fontId="10" fillId="5" borderId="4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9" xfId="0" applyNumberFormat="1" applyFont="1" applyFill="1" applyBorder="1"/>
    <x:xf numFmtId="0" fontId="10" fillId="5" borderId="1" xfId="0" applyNumberFormat="1" applyFont="1" applyFill="1" applyBorder="1" applyAlignment="1">
      <x:alignment vertical="center"/>
    </x:xf>
    <x:xf numFmtId="0" fontId="10" fillId="5" borderId="3" xfId="0" applyNumberFormat="1" applyFont="1" applyFill="1" applyBorder="1" applyAlignment="1">
      <x:alignment vertical="center"/>
    </x:xf>
    <x:xf numFmtId="0" fontId="10" fillId="5" borderId="4" xfId="0" applyNumberFormat="1" applyFont="1" applyFill="1" applyBorder="1" applyAlignment="1">
      <x:alignment vertical="center"/>
    </x:xf>
    <x:xf numFmtId="0" fontId="10" fillId="5" borderId="6" xfId="0" applyNumberFormat="1" applyFont="1" applyFill="1" applyBorder="1" applyAlignment="1">
      <x:alignment vertical="center"/>
    </x:xf>
    <x:xf numFmtId="0" fontId="10" fillId="5" borderId="7" xfId="0" applyNumberFormat="1" applyFont="1" applyFill="1" applyBorder="1" applyAlignment="1">
      <x:alignment vertical="center"/>
    </x:xf>
    <x:xf numFmtId="0" fontId="10" fillId="5" borderId="9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5" xfId="0" applyNumberFormat="1" applyFont="1" applyFill="1" applyBorder="1"/>
    <x:xf numFmtId="0" fontId="11" fillId="8" borderId="5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horizontal="center"/>
    </x:xf>
    <x:xf numFmtId="201" fontId="12" fillId="6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3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201" fontId="6" fillId="0" borderId="13" xfId="0" applyNumberFormat="1" applyFont="1" applyFill="1" applyBorder="1" applyAlignment="1">
      <x:alignment vertical="center"/>
    </x:xf>
    <x:xf numFmtId="201" fontId="6" fillId="0" borderId="1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4966F"/>
      </x:font>
      <x:fill>
        <x:patternFill patternType="solid">
          <x:bgColor rgb="FFE8F6F1"/>
        </x:patternFill>
      </x:fill>
    </x:dxf>
    <x:dxf>
      <x:font>
        <x:color rgb="FFB44747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c3d7f8be94fe6" /><Relationship Type="http://schemas.openxmlformats.org/officeDocument/2006/relationships/theme" Target="/xl/theme/theme1.xml" Id="Rd219810829d34bf7" /><Relationship Type="http://schemas.openxmlformats.org/officeDocument/2006/relationships/sharedStrings" Target="/xl/sharedStrings.xml" Id="R792ffe2093af4ddc" /><Relationship Type="http://schemas.openxmlformats.org/officeDocument/2006/relationships/worksheet" Target="/xl/worksheets/sheet1.xml" Id="R4942d90148b84e31" /><Relationship Type="http://schemas.openxmlformats.org/officeDocument/2006/relationships/worksheet" Target="/xl/worksheets/sheet2.xml" Id="R92e4c1ffa1c84f0d" /><Relationship Type="http://schemas.openxmlformats.org/officeDocument/2006/relationships/worksheet" Target="/xl/worksheets/sheet3.xml" Id="R8a94227894cd422d" /><Relationship Type="http://schemas.openxmlformats.org/officeDocument/2006/relationships/worksheet" Target="/xl/worksheets/sheet4.xml" Id="R0255c8509c5142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a3f5de6b714c58" /><Relationship Type="http://schemas.openxmlformats.org/officeDocument/2006/relationships/chart" Target="/xl/drawings/charts/chart2.xml" Id="Rb5d895e3bfae4b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Consistência por hábito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Consistência</c:v>
          </c:tx>
          <c:cat>
            <c:strRef>
              <c:f>'Relatório Mensal'!$N$11:$N$22</c:f>
              <c:strCache>
                <c:ptCount val="0"/>
              </c:strCache>
            </c:strRef>
          </c:cat>
          <c:val>
            <c:numRef>
              <c:f>'Relatório Mensal'!$O$11:$O$22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Conclusões ao longo do mês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Conclusões</c:v>
          </c:tx>
          <c:marker>
            <c:symbol val="none"/>
          </c:marker>
          <c:cat>
            <c:strRef>
              <c:f>'Relatório Mensal'!$N$26:$N$56</c:f>
              <c:strCache>
                <c:ptCount val="0"/>
              </c:strCache>
            </c:strRef>
          </c:cat>
          <c:val>
            <c:numRef>
              <c:f>'Relatório Mensal'!$O$26:$O$56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a3f5de6b714c58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d895e3bfae4b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14d8965ec1f48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8" customHeight="1">
      <x:c r="A1" s="4" t="str">
        <x:v>Controle de Hábitos Mensal</x:v>
      </x:c>
      <x:c r="B1" s="4" t="str">
        <x:v>Controle de Hábitos Mensal</x:v>
      </x:c>
      <x:c r="C1" s="4" t="str">
        <x:v>Controle de Hábitos Mensal</x:v>
      </x:c>
      <x:c r="D1" s="4" t="str">
        <x:v>Controle de Hábitos Mensal</x:v>
      </x:c>
      <x:c r="E1" s="4" t="str">
        <x:v>Controle de Hábitos Mensal</x:v>
      </x:c>
      <x:c r="F1" s="4" t="str">
        <x:v>Controle de Hábitos Mensal</x:v>
      </x:c>
      <x:c r="G1" s="4" t="str">
        <x:v>Controle de Hábitos Mensal</x:v>
      </x:c>
      <x:c r="H1" s="4" t="str">
        <x:v>Controle de Hábitos Mensal</x:v>
      </x:c>
    </x:row>
    <x:row r="2" ht="38" customHeight="1">
      <x:c r="A2" s="4" t="str">
        <x:v>Controle de Hábitos Mensal</x:v>
      </x:c>
      <x:c r="B2" s="4" t="str">
        <x:v>Controle de Hábitos Mensal</x:v>
      </x:c>
      <x:c r="C2" s="4" t="str">
        <x:v>Controle de Hábitos Mensal</x:v>
      </x:c>
      <x:c r="D2" s="4" t="str">
        <x:v>Controle de Hábitos Mensal</x:v>
      </x:c>
      <x:c r="E2" s="4" t="str">
        <x:v>Controle de Hábitos Mensal</x:v>
      </x:c>
      <x:c r="F2" s="4" t="str">
        <x:v>Controle de Hábitos Mensal</x:v>
      </x:c>
      <x:c r="G2" s="4" t="str">
        <x:v>Controle de Hábitos Mensal</x:v>
      </x:c>
      <x:c r="H2" s="4" t="str">
        <x:v>Controle de Hábitos Mensal</x:v>
      </x:c>
    </x:row>
    <x:row r="3" ht="30" customHeight="1">
      <x:c r="A3" s="8" t="str">
        <x:v>Acompanhe até 12 hábitos, calcule consistência automaticamente e visualize tendências do mês.</x:v>
      </x:c>
      <x:c r="B3" s="8" t="str">
        <x:v>Acompanhe até 12 hábitos, calcule consistência automaticamente e visualize tendências do mês.</x:v>
      </x:c>
      <x:c r="C3" s="8" t="str">
        <x:v>Acompanhe até 12 hábitos, calcule consistência automaticamente e visualize tendências do mês.</x:v>
      </x:c>
      <x:c r="D3" s="8" t="str">
        <x:v>Acompanhe até 12 hábitos, calcule consistência automaticamente e visualize tendências do mês.</x:v>
      </x:c>
      <x:c r="E3" s="8" t="str">
        <x:v>Acompanhe até 12 hábitos, calcule consistência automaticamente e visualize tendências do mês.</x:v>
      </x:c>
      <x:c r="F3" s="8" t="str">
        <x:v>Acompanhe até 12 hábitos, calcule consistência automaticamente e visualize tendências do mês.</x:v>
      </x:c>
      <x:c r="G3" s="8" t="str">
        <x:v>Acompanhe até 12 hábitos, calcule consistência automaticamente e visualize tendências do mês.</x:v>
      </x:c>
      <x:c r="H3" s="8" t="str">
        <x:v>Acompanhe até 12 hábitos, calcule consistência automaticamente e visualize tendências do mês.</x:v>
      </x:c>
    </x:row>
    <x:row r="5">
      <x:c r="A5" s="9" t="str">
        <x:v>FLUXO EM 4 PASSOS</x:v>
      </x:c>
    </x:row>
    <x:row r="7" ht="46" customHeight="1">
      <x:c r="A7" s="13" t="str">
        <x:v>1</x:v>
      </x:c>
      <x:c r="B7" s="15" t="str">
        <x:v>Configure</x:v>
      </x:c>
      <x:c r="C7" s="36" t="str">
        <x:v>Escolha o primeiro dia do mês e defina até 12 hábitos com metas mensais.</x:v>
      </x:c>
      <x:c r="D7" s="37" t="str"/>
      <x:c r="E7" s="37" t="str"/>
      <x:c r="F7" s="37" t="str"/>
      <x:c r="G7" s="37" t="str"/>
      <x:c r="H7" s="38" t="str"/>
    </x:row>
    <x:row r="8" ht="46" customHeight="1">
      <x:c r="A8" s="13" t="str">
        <x:v>2</x:v>
      </x:c>
      <x:c r="B8" s="15" t="str">
        <x:v>Registre</x:v>
      </x:c>
      <x:c r="C8" s="39" t="str">
        <x:v>Na aba Rastreador Mensal, use 1 para concluído e 0 para não concluído.</x:v>
      </x:c>
      <x:c r="D8" s="40" t="str"/>
      <x:c r="E8" s="40" t="str"/>
      <x:c r="F8" s="40" t="str"/>
      <x:c r="G8" s="40" t="str"/>
      <x:c r="H8" s="41" t="str"/>
    </x:row>
    <x:row r="9" ht="46" customHeight="1">
      <x:c r="A9" s="13" t="str">
        <x:v>3</x:v>
      </x:c>
      <x:c r="B9" s="15" t="str">
        <x:v>Analise</x:v>
      </x:c>
      <x:c r="C9" s="39" t="str">
        <x:v>O Relatório Mensal calcula consistência por hábito, total diário e evolução semanal.</x:v>
      </x:c>
      <x:c r="D9" s="40" t="str"/>
      <x:c r="E9" s="40" t="str"/>
      <x:c r="F9" s="40" t="str"/>
      <x:c r="G9" s="40" t="str"/>
      <x:c r="H9" s="41" t="str"/>
    </x:row>
    <x:row r="10" ht="46" customHeight="1">
      <x:c r="A10" s="13" t="str">
        <x:v>4</x:v>
      </x:c>
      <x:c r="B10" s="15" t="str">
        <x:v>Ajuste</x:v>
      </x:c>
      <x:c r="C10" s="42" t="str">
        <x:v>Escolha um hábito para simplificar, fortalecer ou substituir no próximo mês.</x:v>
      </x:c>
      <x:c r="D10" s="43" t="str"/>
      <x:c r="E10" s="43" t="str"/>
      <x:c r="F10" s="43" t="str"/>
      <x:c r="G10" s="43" t="str"/>
      <x:c r="H10" s="44" t="str"/>
    </x:row>
    <x:row r="12" ht="36" customHeight="1">
      <x:c r="A12" s="48" t="str">
        <x:v>Consistência = conclusões registradas ÷ meta do mês. Dias inexistentes no mês são ignorados automaticamente.</x:v>
      </x:c>
      <x:c r="B12" s="48"/>
      <x:c r="C12" s="48"/>
      <x:c r="D12" s="48"/>
      <x:c r="E12" s="48"/>
      <x:c r="F12" s="48"/>
      <x:c r="G12" s="48"/>
      <x:c r="H12" s="48"/>
    </x:row>
  </x:sheetData>
  <x:mergeCells>
    <x:mergeCell ref="A1:H2"/>
    <x:mergeCell ref="A3:H3"/>
    <x:mergeCell ref="A5:H5"/>
    <x:mergeCell ref="C7:H7"/>
    <x:mergeCell ref="C8:H8"/>
    <x:mergeCell ref="C9:H9"/>
    <x:mergeCell ref="C10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4" hidden="0" customWidth="1"/>
    <x:col min="4" max="4" width="18" hidden="0" customWidth="1"/>
    <x:col min="5" max="5" width="22" hidden="0" customWidth="1"/>
  </x:cols>
  <x:sheetData>
    <x:row r="1" ht="38" customHeight="1">
      <x:c r="A1" s="74" t="str">
        <x:v>Configuração mensal</x:v>
      </x:c>
      <x:c r="B1" s="74" t="str">
        <x:v>Configuração mensal</x:v>
      </x:c>
      <x:c r="C1" s="74" t="str">
        <x:v>Configuração mensal</x:v>
      </x:c>
      <x:c r="D1" s="74" t="str">
        <x:v>Configuração mensal</x:v>
      </x:c>
      <x:c r="E1" s="74" t="str">
        <x:v>Configuração mensal</x:v>
      </x:c>
    </x:row>
    <x:row r="2" ht="38" customHeight="1">
      <x:c r="A2" s="4" t="str">
        <x:v>Configuração mensal</x:v>
      </x:c>
      <x:c r="B2" s="4" t="str">
        <x:v>Configuração mensal</x:v>
      </x:c>
      <x:c r="C2" s="4" t="str">
        <x:v>Configuração mensal</x:v>
      </x:c>
      <x:c r="D2" s="4" t="str">
        <x:v>Configuração mensal</x:v>
      </x:c>
      <x:c r="E2" s="4" t="str">
        <x:v>Configuração mensal</x:v>
      </x:c>
    </x:row>
    <x:row r="3" ht="30" customHeight="1">
      <x:c r="A3" s="8" t="str">
        <x:v>Edite as células amarelas. Use metas mensais realistas, considerando fins de semana e viagens.</x:v>
      </x:c>
      <x:c r="B3" s="8" t="str">
        <x:v>Edite as células amarelas. Use metas mensais realistas, considerando fins de semana e viagens.</x:v>
      </x:c>
      <x:c r="C3" s="8" t="str">
        <x:v>Edite as células amarelas. Use metas mensais realistas, considerando fins de semana e viagens.</x:v>
      </x:c>
      <x:c r="D3" s="8" t="str">
        <x:v>Edite as células amarelas. Use metas mensais realistas, considerando fins de semana e viagens.</x:v>
      </x:c>
      <x:c r="E3" s="8" t="str">
        <x:v>Edite as células amarelas. Use metas mensais realistas, considerando fins de semana e viagens.</x:v>
      </x:c>
    </x:row>
    <x:row r="5" ht="28" customHeight="1">
      <x:c r="A5" s="56" t="str">
        <x:v>Parâmetro</x:v>
      </x:c>
      <x:c r="B5" s="57" t="str">
        <x:v>Valor</x:v>
      </x:c>
    </x:row>
    <x:row r="6">
      <x:c r="A6" t="str">
        <x:v>Primeiro dia do mês</x:v>
      </x:c>
      <x:c r="B6" s="60" t="n">
        <x:v>46235</x:v>
      </x:c>
    </x:row>
    <x:row r="7">
      <x:c r="A7" t="str">
        <x:v>Mês exibido</x:v>
      </x:c>
      <x:c r="B7" t="str">
        <x:f>CHOOSE(MONTH(B6),"janeiro","fevereiro","março","abril","maio","junho","julho","agosto","setembro","outubro","novembro","dezembro")&amp;" "&amp;YEAR(B6)</x:f>
        <x:v>agosto 2026</x:v>
      </x:c>
    </x:row>
    <x:row r="9" ht="28" customHeight="1">
      <x:c r="A9" s="56" t="str">
        <x:v>Hábito</x:v>
      </x:c>
      <x:c r="B9" s="64" t="str">
        <x:v>Categoria</x:v>
      </x:c>
      <x:c r="C9" s="64" t="str">
        <x:v>Meta no mês</x:v>
      </x:c>
      <x:c r="D9" s="64" t="str">
        <x:v>Versão mínima</x:v>
      </x:c>
      <x:c r="E9" s="57" t="str">
        <x:v>Gatilho sugerido</x:v>
      </x:c>
    </x:row>
    <x:row r="10">
      <x:c r="A10" s="65" t="str">
        <x:v>Água ao acordar</x:v>
      </x:c>
      <x:c r="B10" s="66" t="str">
        <x:v>Corpo</x:v>
      </x:c>
      <x:c r="C10" s="66" t="n">
        <x:v>31</x:v>
      </x:c>
      <x:c r="D10" s="66" t="str">
        <x:v>1 copo</x:v>
      </x:c>
      <x:c r="E10" s="67" t="str">
        <x:v>Ao levantar</x:v>
      </x:c>
    </x:row>
    <x:row r="11">
      <x:c r="A11" s="68" t="str">
        <x:v>Movimento</x:v>
      </x:c>
      <x:c r="B11" s="69" t="str">
        <x:v>Corpo</x:v>
      </x:c>
      <x:c r="C11" s="69" t="n">
        <x:v>20</x:v>
      </x:c>
      <x:c r="D11" s="69" t="str">
        <x:v>5 minutos</x:v>
      </x:c>
      <x:c r="E11" s="70" t="str">
        <x:v>Após o café</x:v>
      </x:c>
    </x:row>
    <x:row r="12">
      <x:c r="A12" s="68" t="str">
        <x:v>Leitura</x:v>
      </x:c>
      <x:c r="B12" s="69" t="str">
        <x:v>Aprendizado</x:v>
      </x:c>
      <x:c r="C12" s="69" t="n">
        <x:v>20</x:v>
      </x:c>
      <x:c r="D12" s="69" t="str">
        <x:v>2 páginas</x:v>
      </x:c>
      <x:c r="E12" s="70" t="str">
        <x:v>Antes de dormir</x:v>
      </x:c>
    </x:row>
    <x:row r="13">
      <x:c r="A13" s="68" t="str">
        <x:v>Planejar o dia</x:v>
      </x:c>
      <x:c r="B13" s="69" t="str">
        <x:v>Direção</x:v>
      </x:c>
      <x:c r="C13" s="69" t="n">
        <x:v>22</x:v>
      </x:c>
      <x:c r="D13" s="69" t="str">
        <x:v>1 prioridade</x:v>
      </x:c>
      <x:c r="E13" s="70" t="str">
        <x:v>Antes de abrir mensagens</x:v>
      </x:c>
    </x:row>
    <x:row r="14">
      <x:c r="A14" s="68" t="str">
        <x:v>Pausa sem tela</x:v>
      </x:c>
      <x:c r="B14" s="69" t="str">
        <x:v>Recuperação</x:v>
      </x:c>
      <x:c r="C14" s="69" t="n">
        <x:v>25</x:v>
      </x:c>
      <x:c r="D14" s="69" t="str">
        <x:v>2 minutos</x:v>
      </x:c>
      <x:c r="E14" s="70" t="str">
        <x:v>Depois do almoço</x:v>
      </x:c>
    </x:row>
    <x:row r="15">
      <x:c r="A15" s="68" t="str">
        <x:v>Fechar o dia</x:v>
      </x:c>
      <x:c r="B15" s="69" t="str">
        <x:v>Organização</x:v>
      </x:c>
      <x:c r="C15" s="69" t="n">
        <x:v>22</x:v>
      </x:c>
      <x:c r="D15" s="69" t="str">
        <x:v>Próximo passo</x:v>
      </x:c>
      <x:c r="E15" s="70" t="str">
        <x:v>Antes de encerrar</x:v>
      </x:c>
    </x:row>
    <x:row r="16">
      <x:c r="A16" s="68" t="str">
        <x:v>Sono no horário</x:v>
      </x:c>
      <x:c r="B16" s="69" t="str">
        <x:v>Corpo</x:v>
      </x:c>
      <x:c r="C16" s="69" t="n">
        <x:v>22</x:v>
      </x:c>
      <x:c r="D16" s="69" t="str">
        <x:v>Desligar telas</x:v>
      </x:c>
      <x:c r="E16" s="70" t="str">
        <x:v>Às 22h</x:v>
      </x:c>
    </x:row>
    <x:row r="17">
      <x:c r="A17" s="68" t="str">
        <x:v>Estudo</x:v>
      </x:c>
      <x:c r="B17" s="69" t="str">
        <x:v>Aprendizado</x:v>
      </x:c>
      <x:c r="C17" s="69" t="n">
        <x:v>12</x:v>
      </x:c>
      <x:c r="D17" s="69" t="str">
        <x:v>10 minutos</x:v>
      </x:c>
      <x:c r="E17" s="70" t="str">
        <x:v>Após o trabalho</x:v>
      </x:c>
    </x:row>
    <x:row r="18">
      <x:c r="A18" s="68" t="str">
        <x:v>Alongamento</x:v>
      </x:c>
      <x:c r="B18" s="69" t="str">
        <x:v>Corpo</x:v>
      </x:c>
      <x:c r="C18" s="69" t="n">
        <x:v>20</x:v>
      </x:c>
      <x:c r="D18" s="69" t="str">
        <x:v>2 movimentos</x:v>
      </x:c>
      <x:c r="E18" s="70" t="str">
        <x:v>Após levantar</x:v>
      </x:c>
    </x:row>
    <x:row r="19">
      <x:c r="A19" s="68" t="str">
        <x:v>Contato importante</x:v>
      </x:c>
      <x:c r="B19" s="69" t="str">
        <x:v>Relacionamentos</x:v>
      </x:c>
      <x:c r="C19" s="69" t="n">
        <x:v>8</x:v>
      </x:c>
      <x:c r="D19" s="69" t="str">
        <x:v>1 mensagem</x:v>
      </x:c>
      <x:c r="E19" s="70" t="str">
        <x:v>Na sexta-feira</x:v>
      </x:c>
    </x:row>
    <x:row r="20">
      <x:c r="A20" s="68" t="str">
        <x:v>Organizar ambiente</x:v>
      </x:c>
      <x:c r="B20" s="69" t="str">
        <x:v>Organização</x:v>
      </x:c>
      <x:c r="C20" s="69" t="n">
        <x:v>12</x:v>
      </x:c>
      <x:c r="D20" s="69" t="str">
        <x:v>5 minutos</x:v>
      </x:c>
      <x:c r="E20" s="70" t="str">
        <x:v>Após o jantar</x:v>
      </x:c>
    </x:row>
    <x:row r="21">
      <x:c r="A21" s="71" t="str">
        <x:v>Reflexão curta</x:v>
      </x:c>
      <x:c r="B21" s="72" t="str">
        <x:v>Mente</x:v>
      </x:c>
      <x:c r="C21" s="72" t="n">
        <x:v>20</x:v>
      </x:c>
      <x:c r="D21" s="72" t="str">
        <x:v>1 linha</x:v>
      </x:c>
      <x:c r="E21" s="73" t="str">
        <x:v>Antes de dormir</x:v>
      </x:c>
    </x:row>
  </x:sheetData>
  <x:mergeCells>
    <x:mergeCell ref="A1:E2"/>
    <x:mergeCell ref="A3:E3"/>
  </x:mergeCells>
  <x:dataValidations count="1">
    <x:dataValidation type="whole" operator="between" sqref="C10:C21">
      <x:formula1>1</x:formula1>
      <x:formula2>31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" hidden="0" customWidth="1"/>
    <x:col min="3" max="3" width="4.199999809265137" hidden="0" customWidth="1"/>
    <x:col min="4" max="4" width="4.199999809265137" hidden="0" customWidth="1"/>
    <x:col min="5" max="5" width="4.199999809265137" hidden="0" customWidth="1"/>
    <x:col min="6" max="6" width="4.199999809265137" hidden="0" customWidth="1"/>
    <x:col min="7" max="7" width="4.199999809265137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</x:cols>
  <x:sheetData>
    <x:row r="1" ht="38" customHeight="1">
      <x:c r="A1" s="4" t="str">
        <x:v>Rastreador Mensal - até 12 hábitos</x:v>
      </x:c>
      <x:c r="B1" s="4" t="str">
        <x:v>Rastreador Mensal - até 12 hábitos</x:v>
      </x:c>
      <x:c r="C1" s="4" t="str">
        <x:v>Rastreador Mensal - até 12 hábitos</x:v>
      </x:c>
      <x:c r="D1" s="4" t="str">
        <x:v>Rastreador Mensal - até 12 hábitos</x:v>
      </x:c>
      <x:c r="E1" s="4" t="str">
        <x:v>Rastreador Mensal - até 12 hábitos</x:v>
      </x:c>
      <x:c r="F1" s="4" t="str">
        <x:v>Rastreador Mensal - até 12 hábitos</x:v>
      </x:c>
      <x:c r="G1" s="4" t="str">
        <x:v>Rastreador Mensal - até 12 hábitos</x:v>
      </x:c>
      <x:c r="H1" s="4" t="str">
        <x:v>Rastreador Mensal - até 12 hábitos</x:v>
      </x:c>
      <x:c r="I1" s="4" t="str">
        <x:v>Rastreador Mensal - até 12 hábitos</x:v>
      </x:c>
      <x:c r="J1" s="4" t="str">
        <x:v>Rastreador Mensal - até 12 hábitos</x:v>
      </x:c>
      <x:c r="K1" s="4" t="str">
        <x:v>Rastreador Mensal - até 12 hábitos</x:v>
      </x:c>
      <x:c r="L1" s="4" t="str">
        <x:v>Rastreador Mensal - até 12 hábitos</x:v>
      </x:c>
      <x:c r="M1" s="4" t="str">
        <x:v>Rastreador Mensal - até 12 hábitos</x:v>
      </x:c>
      <x:c r="N1" s="4" t="str">
        <x:v>Rastreador Mensal - até 12 hábitos</x:v>
      </x:c>
      <x:c r="O1" s="4" t="str">
        <x:v>Rastreador Mensal - até 12 hábitos</x:v>
      </x:c>
      <x:c r="P1" s="4" t="str">
        <x:v>Rastreador Mensal - até 12 hábitos</x:v>
      </x:c>
      <x:c r="Q1" s="4" t="str">
        <x:v>Rastreador Mensal - até 12 hábitos</x:v>
      </x:c>
      <x:c r="R1" s="4" t="str">
        <x:v>Rastreador Mensal - até 12 hábitos</x:v>
      </x:c>
      <x:c r="S1" s="4" t="str">
        <x:v>Rastreador Mensal - até 12 hábitos</x:v>
      </x:c>
      <x:c r="T1" s="4" t="str">
        <x:v>Rastreador Mensal - até 12 hábitos</x:v>
      </x:c>
      <x:c r="U1" s="4" t="str">
        <x:v>Rastreador Mensal - até 12 hábitos</x:v>
      </x:c>
      <x:c r="V1" s="4" t="str">
        <x:v>Rastreador Mensal - até 12 hábitos</x:v>
      </x:c>
      <x:c r="W1" s="4" t="str">
        <x:v>Rastreador Mensal - até 12 hábitos</x:v>
      </x:c>
      <x:c r="X1" s="4" t="str">
        <x:v>Rastreador Mensal - até 12 hábitos</x:v>
      </x:c>
      <x:c r="Y1" s="4" t="str">
        <x:v>Rastreador Mensal - até 12 hábitos</x:v>
      </x:c>
      <x:c r="Z1" s="4" t="str">
        <x:v>Rastreador Mensal - até 12 hábitos</x:v>
      </x:c>
      <x:c r="AA1" s="4" t="str">
        <x:v>Rastreador Mensal - até 12 hábitos</x:v>
      </x:c>
      <x:c r="AB1" s="4" t="str">
        <x:v>Rastreador Mensal - até 12 hábitos</x:v>
      </x:c>
      <x:c r="AC1" s="4" t="str">
        <x:v>Rastreador Mensal - até 12 hábitos</x:v>
      </x:c>
      <x:c r="AD1" s="4" t="str">
        <x:v>Rastreador Mensal - até 12 hábitos</x:v>
      </x:c>
      <x:c r="AE1" s="4" t="str">
        <x:v>Rastreador Mensal - até 12 hábitos</x:v>
      </x:c>
      <x:c r="AF1" s="4" t="str">
        <x:v>Rastreador Mensal - até 12 hábitos</x:v>
      </x:c>
      <x:c r="AG1" s="4" t="str">
        <x:v>Rastreador Mensal - até 12 hábitos</x:v>
      </x:c>
    </x:row>
    <x:row r="2" ht="38" customHeight="1">
      <x:c r="A2" s="4" t="str">
        <x:v>Rastreador Mensal - até 12 hábitos</x:v>
      </x:c>
      <x:c r="B2" s="4" t="str">
        <x:v>Rastreador Mensal - até 12 hábitos</x:v>
      </x:c>
      <x:c r="C2" s="4" t="str">
        <x:v>Rastreador Mensal - até 12 hábitos</x:v>
      </x:c>
      <x:c r="D2" s="4" t="str">
        <x:v>Rastreador Mensal - até 12 hábitos</x:v>
      </x:c>
      <x:c r="E2" s="4" t="str">
        <x:v>Rastreador Mensal - até 12 hábitos</x:v>
      </x:c>
      <x:c r="F2" s="4" t="str">
        <x:v>Rastreador Mensal - até 12 hábitos</x:v>
      </x:c>
      <x:c r="G2" s="4" t="str">
        <x:v>Rastreador Mensal - até 12 hábitos</x:v>
      </x:c>
      <x:c r="H2" s="4" t="str">
        <x:v>Rastreador Mensal - até 12 hábitos</x:v>
      </x:c>
      <x:c r="I2" s="4" t="str">
        <x:v>Rastreador Mensal - até 12 hábitos</x:v>
      </x:c>
      <x:c r="J2" s="4" t="str">
        <x:v>Rastreador Mensal - até 12 hábitos</x:v>
      </x:c>
      <x:c r="K2" s="4" t="str">
        <x:v>Rastreador Mensal - até 12 hábitos</x:v>
      </x:c>
      <x:c r="L2" s="4" t="str">
        <x:v>Rastreador Mensal - até 12 hábitos</x:v>
      </x:c>
      <x:c r="M2" s="4" t="str">
        <x:v>Rastreador Mensal - até 12 hábitos</x:v>
      </x:c>
      <x:c r="N2" s="4" t="str">
        <x:v>Rastreador Mensal - até 12 hábitos</x:v>
      </x:c>
      <x:c r="O2" s="4" t="str">
        <x:v>Rastreador Mensal - até 12 hábitos</x:v>
      </x:c>
      <x:c r="P2" s="4" t="str">
        <x:v>Rastreador Mensal - até 12 hábitos</x:v>
      </x:c>
      <x:c r="Q2" s="4" t="str">
        <x:v>Rastreador Mensal - até 12 hábitos</x:v>
      </x:c>
      <x:c r="R2" s="4" t="str">
        <x:v>Rastreador Mensal - até 12 hábitos</x:v>
      </x:c>
      <x:c r="S2" s="4" t="str">
        <x:v>Rastreador Mensal - até 12 hábitos</x:v>
      </x:c>
      <x:c r="T2" s="4" t="str">
        <x:v>Rastreador Mensal - até 12 hábitos</x:v>
      </x:c>
      <x:c r="U2" s="4" t="str">
        <x:v>Rastreador Mensal - até 12 hábitos</x:v>
      </x:c>
      <x:c r="V2" s="4" t="str">
        <x:v>Rastreador Mensal - até 12 hábitos</x:v>
      </x:c>
      <x:c r="W2" s="4" t="str">
        <x:v>Rastreador Mensal - até 12 hábitos</x:v>
      </x:c>
      <x:c r="X2" s="4" t="str">
        <x:v>Rastreador Mensal - até 12 hábitos</x:v>
      </x:c>
      <x:c r="Y2" s="4" t="str">
        <x:v>Rastreador Mensal - até 12 hábitos</x:v>
      </x:c>
      <x:c r="Z2" s="4" t="str">
        <x:v>Rastreador Mensal - até 12 hábitos</x:v>
      </x:c>
      <x:c r="AA2" s="4" t="str">
        <x:v>Rastreador Mensal - até 12 hábitos</x:v>
      </x:c>
      <x:c r="AB2" s="4" t="str">
        <x:v>Rastreador Mensal - até 12 hábitos</x:v>
      </x:c>
      <x:c r="AC2" s="4" t="str">
        <x:v>Rastreador Mensal - até 12 hábitos</x:v>
      </x:c>
      <x:c r="AD2" s="4" t="str">
        <x:v>Rastreador Mensal - até 12 hábitos</x:v>
      </x:c>
      <x:c r="AE2" s="4" t="str">
        <x:v>Rastreador Mensal - até 12 hábitos</x:v>
      </x:c>
      <x:c r="AF2" s="4" t="str">
        <x:v>Rastreador Mensal - até 12 hábitos</x:v>
      </x:c>
      <x:c r="AG2" s="4" t="str">
        <x:v>Rastreador Mensal - até 12 hábitos</x:v>
      </x:c>
    </x:row>
    <x:row r="3" ht="30" customHeight="1">
      <x:c r="A3" s="8" t="str">
        <x:v>1 = concluído | 0 = não concluído | em branco = ainda não registrado. Datas fora do mês ficam vazias.</x:v>
      </x:c>
      <x:c r="B3" s="8" t="str">
        <x:v>1 = concluído | 0 = não concluído | em branco = ainda não registrado. Datas fora do mês ficam vazias.</x:v>
      </x:c>
      <x:c r="C3" s="8" t="str">
        <x:v>1 = concluído | 0 = não concluído | em branco = ainda não registrado. Datas fora do mês ficam vazias.</x:v>
      </x:c>
      <x:c r="D3" s="8" t="str">
        <x:v>1 = concluído | 0 = não concluído | em branco = ainda não registrado. Datas fora do mês ficam vazias.</x:v>
      </x:c>
      <x:c r="E3" s="8" t="str">
        <x:v>1 = concluído | 0 = não concluído | em branco = ainda não registrado. Datas fora do mês ficam vazias.</x:v>
      </x:c>
      <x:c r="F3" s="8" t="str">
        <x:v>1 = concluído | 0 = não concluído | em branco = ainda não registrado. Datas fora do mês ficam vazias.</x:v>
      </x:c>
      <x:c r="G3" s="8" t="str">
        <x:v>1 = concluído | 0 = não concluído | em branco = ainda não registrado. Datas fora do mês ficam vazias.</x:v>
      </x:c>
      <x:c r="H3" s="8" t="str">
        <x:v>1 = concluído | 0 = não concluído | em branco = ainda não registrado. Datas fora do mês ficam vazias.</x:v>
      </x:c>
      <x:c r="I3" s="8" t="str">
        <x:v>1 = concluído | 0 = não concluído | em branco = ainda não registrado. Datas fora do mês ficam vazias.</x:v>
      </x:c>
      <x:c r="J3" s="8" t="str">
        <x:v>1 = concluído | 0 = não concluído | em branco = ainda não registrado. Datas fora do mês ficam vazias.</x:v>
      </x:c>
      <x:c r="K3" s="8" t="str">
        <x:v>1 = concluído | 0 = não concluído | em branco = ainda não registrado. Datas fora do mês ficam vazias.</x:v>
      </x:c>
      <x:c r="L3" s="8" t="str">
        <x:v>1 = concluído | 0 = não concluído | em branco = ainda não registrado. Datas fora do mês ficam vazias.</x:v>
      </x:c>
      <x:c r="M3" s="8" t="str">
        <x:v>1 = concluído | 0 = não concluído | em branco = ainda não registrado. Datas fora do mês ficam vazias.</x:v>
      </x:c>
      <x:c r="N3" s="8" t="str">
        <x:v>1 = concluído | 0 = não concluído | em branco = ainda não registrado. Datas fora do mês ficam vazias.</x:v>
      </x:c>
      <x:c r="O3" s="8" t="str">
        <x:v>1 = concluído | 0 = não concluído | em branco = ainda não registrado. Datas fora do mês ficam vazias.</x:v>
      </x:c>
      <x:c r="P3" s="8" t="str">
        <x:v>1 = concluído | 0 = não concluído | em branco = ainda não registrado. Datas fora do mês ficam vazias.</x:v>
      </x:c>
      <x:c r="Q3" s="8" t="str">
        <x:v>1 = concluído | 0 = não concluído | em branco = ainda não registrado. Datas fora do mês ficam vazias.</x:v>
      </x:c>
      <x:c r="R3" s="8" t="str">
        <x:v>1 = concluído | 0 = não concluído | em branco = ainda não registrado. Datas fora do mês ficam vazias.</x:v>
      </x:c>
      <x:c r="S3" s="8" t="str">
        <x:v>1 = concluído | 0 = não concluído | em branco = ainda não registrado. Datas fora do mês ficam vazias.</x:v>
      </x:c>
      <x:c r="T3" s="8" t="str">
        <x:v>1 = concluído | 0 = não concluído | em branco = ainda não registrado. Datas fora do mês ficam vazias.</x:v>
      </x:c>
      <x:c r="U3" s="8" t="str">
        <x:v>1 = concluído | 0 = não concluído | em branco = ainda não registrado. Datas fora do mês ficam vazias.</x:v>
      </x:c>
      <x:c r="V3" s="8" t="str">
        <x:v>1 = concluído | 0 = não concluído | em branco = ainda não registrado. Datas fora do mês ficam vazias.</x:v>
      </x:c>
      <x:c r="W3" s="8" t="str">
        <x:v>1 = concluído | 0 = não concluído | em branco = ainda não registrado. Datas fora do mês ficam vazias.</x:v>
      </x:c>
      <x:c r="X3" s="8" t="str">
        <x:v>1 = concluído | 0 = não concluído | em branco = ainda não registrado. Datas fora do mês ficam vazias.</x:v>
      </x:c>
      <x:c r="Y3" s="8" t="str">
        <x:v>1 = concluído | 0 = não concluído | em branco = ainda não registrado. Datas fora do mês ficam vazias.</x:v>
      </x:c>
      <x:c r="Z3" s="8" t="str">
        <x:v>1 = concluído | 0 = não concluído | em branco = ainda não registrado. Datas fora do mês ficam vazias.</x:v>
      </x:c>
      <x:c r="AA3" s="8" t="str">
        <x:v>1 = concluído | 0 = não concluído | em branco = ainda não registrado. Datas fora do mês ficam vazias.</x:v>
      </x:c>
      <x:c r="AB3" s="8" t="str">
        <x:v>1 = concluído | 0 = não concluído | em branco = ainda não registrado. Datas fora do mês ficam vazias.</x:v>
      </x:c>
      <x:c r="AC3" s="8" t="str">
        <x:v>1 = concluído | 0 = não concluído | em branco = ainda não registrado. Datas fora do mês ficam vazias.</x:v>
      </x:c>
      <x:c r="AD3" s="8" t="str">
        <x:v>1 = concluído | 0 = não concluído | em branco = ainda não registrado. Datas fora do mês ficam vazias.</x:v>
      </x:c>
      <x:c r="AE3" s="8" t="str">
        <x:v>1 = concluído | 0 = não concluído | em branco = ainda não registrado. Datas fora do mês ficam vazias.</x:v>
      </x:c>
      <x:c r="AF3" s="8" t="str">
        <x:v>1 = concluído | 0 = não concluído | em branco = ainda não registrado. Datas fora do mês ficam vazias.</x:v>
      </x:c>
      <x:c r="AG3" s="8" t="str">
        <x:v>1 = concluído | 0 = não concluído | em branco = ainda não registrado. Datas fora do mês ficam vazias.</x:v>
      </x:c>
    </x:row>
    <x:row r="4">
      <x:c r="C4" s="76" t="str">
        <x:f>IF(MONTH('Configuração'!$B$6+0)=MONTH('Configuração'!$B$6),CHOOSE(WEEKDAY('Configuração'!$B$6+0),"dom","seg","ter","qua","qui","sex","sáb"),"")</x:f>
        <x:v>sáb</x:v>
      </x:c>
      <x:c r="D4" s="76" t="str">
        <x:f>IF(MONTH('Configuração'!$B$6+1)=MONTH('Configuração'!$B$6),CHOOSE(WEEKDAY('Configuração'!$B$6+1),"dom","seg","ter","qua","qui","sex","sáb"),"")</x:f>
        <x:v>dom</x:v>
      </x:c>
      <x:c r="E4" s="76" t="str">
        <x:f>IF(MONTH('Configuração'!$B$6+2)=MONTH('Configuração'!$B$6),CHOOSE(WEEKDAY('Configuração'!$B$6+2),"dom","seg","ter","qua","qui","sex","sáb"),"")</x:f>
        <x:v>seg</x:v>
      </x:c>
      <x:c r="F4" s="76" t="str">
        <x:f>IF(MONTH('Configuração'!$B$6+3)=MONTH('Configuração'!$B$6),CHOOSE(WEEKDAY('Configuração'!$B$6+3),"dom","seg","ter","qua","qui","sex","sáb"),"")</x:f>
        <x:v>ter</x:v>
      </x:c>
      <x:c r="G4" s="76" t="str">
        <x:f>IF(MONTH('Configuração'!$B$6+4)=MONTH('Configuração'!$B$6),CHOOSE(WEEKDAY('Configuração'!$B$6+4),"dom","seg","ter","qua","qui","sex","sáb"),"")</x:f>
        <x:v>qua</x:v>
      </x:c>
      <x:c r="H4" s="76" t="str">
        <x:f>IF(MONTH('Configuração'!$B$6+5)=MONTH('Configuração'!$B$6),CHOOSE(WEEKDAY('Configuração'!$B$6+5),"dom","seg","ter","qua","qui","sex","sáb"),"")</x:f>
        <x:v>qui</x:v>
      </x:c>
      <x:c r="I4" s="76" t="str">
        <x:f>IF(MONTH('Configuração'!$B$6+6)=MONTH('Configuração'!$B$6),CHOOSE(WEEKDAY('Configuração'!$B$6+6),"dom","seg","ter","qua","qui","sex","sáb"),"")</x:f>
        <x:v>sex</x:v>
      </x:c>
      <x:c r="J4" s="76" t="str">
        <x:f>IF(MONTH('Configuração'!$B$6+7)=MONTH('Configuração'!$B$6),CHOOSE(WEEKDAY('Configuração'!$B$6+7),"dom","seg","ter","qua","qui","sex","sáb"),"")</x:f>
        <x:v>sáb</x:v>
      </x:c>
      <x:c r="K4" s="76" t="str">
        <x:f>IF(MONTH('Configuração'!$B$6+8)=MONTH('Configuração'!$B$6),CHOOSE(WEEKDAY('Configuração'!$B$6+8),"dom","seg","ter","qua","qui","sex","sáb"),"")</x:f>
        <x:v>dom</x:v>
      </x:c>
      <x:c r="L4" s="76" t="str">
        <x:f>IF(MONTH('Configuração'!$B$6+9)=MONTH('Configuração'!$B$6),CHOOSE(WEEKDAY('Configuração'!$B$6+9),"dom","seg","ter","qua","qui","sex","sáb"),"")</x:f>
        <x:v>seg</x:v>
      </x:c>
      <x:c r="M4" s="76" t="str">
        <x:f>IF(MONTH('Configuração'!$B$6+10)=MONTH('Configuração'!$B$6),CHOOSE(WEEKDAY('Configuração'!$B$6+10),"dom","seg","ter","qua","qui","sex","sáb"),"")</x:f>
        <x:v>ter</x:v>
      </x:c>
      <x:c r="N4" s="76" t="str">
        <x:f>IF(MONTH('Configuração'!$B$6+11)=MONTH('Configuração'!$B$6),CHOOSE(WEEKDAY('Configuração'!$B$6+11),"dom","seg","ter","qua","qui","sex","sáb"),"")</x:f>
        <x:v>qua</x:v>
      </x:c>
      <x:c r="O4" s="76" t="str">
        <x:f>IF(MONTH('Configuração'!$B$6+12)=MONTH('Configuração'!$B$6),CHOOSE(WEEKDAY('Configuração'!$B$6+12),"dom","seg","ter","qua","qui","sex","sáb"),"")</x:f>
        <x:v>qui</x:v>
      </x:c>
      <x:c r="P4" s="76" t="str">
        <x:f>IF(MONTH('Configuração'!$B$6+13)=MONTH('Configuração'!$B$6),CHOOSE(WEEKDAY('Configuração'!$B$6+13),"dom","seg","ter","qua","qui","sex","sáb"),"")</x:f>
        <x:v>sex</x:v>
      </x:c>
      <x:c r="Q4" s="76" t="str">
        <x:f>IF(MONTH('Configuração'!$B$6+14)=MONTH('Configuração'!$B$6),CHOOSE(WEEKDAY('Configuração'!$B$6+14),"dom","seg","ter","qua","qui","sex","sáb"),"")</x:f>
        <x:v>sáb</x:v>
      </x:c>
      <x:c r="R4" s="76" t="str">
        <x:f>IF(MONTH('Configuração'!$B$6+15)=MONTH('Configuração'!$B$6),CHOOSE(WEEKDAY('Configuração'!$B$6+15),"dom","seg","ter","qua","qui","sex","sáb"),"")</x:f>
        <x:v>dom</x:v>
      </x:c>
      <x:c r="S4" s="76" t="str">
        <x:f>IF(MONTH('Configuração'!$B$6+16)=MONTH('Configuração'!$B$6),CHOOSE(WEEKDAY('Configuração'!$B$6+16),"dom","seg","ter","qua","qui","sex","sáb"),"")</x:f>
        <x:v>seg</x:v>
      </x:c>
      <x:c r="T4" s="76" t="str">
        <x:f>IF(MONTH('Configuração'!$B$6+17)=MONTH('Configuração'!$B$6),CHOOSE(WEEKDAY('Configuração'!$B$6+17),"dom","seg","ter","qua","qui","sex","sáb"),"")</x:f>
        <x:v>ter</x:v>
      </x:c>
      <x:c r="U4" s="76" t="str">
        <x:f>IF(MONTH('Configuração'!$B$6+18)=MONTH('Configuração'!$B$6),CHOOSE(WEEKDAY('Configuração'!$B$6+18),"dom","seg","ter","qua","qui","sex","sáb"),"")</x:f>
        <x:v>qua</x:v>
      </x:c>
      <x:c r="V4" s="76" t="str">
        <x:f>IF(MONTH('Configuração'!$B$6+19)=MONTH('Configuração'!$B$6),CHOOSE(WEEKDAY('Configuração'!$B$6+19),"dom","seg","ter","qua","qui","sex","sáb"),"")</x:f>
        <x:v>qui</x:v>
      </x:c>
      <x:c r="W4" s="76" t="str">
        <x:f>IF(MONTH('Configuração'!$B$6+20)=MONTH('Configuração'!$B$6),CHOOSE(WEEKDAY('Configuração'!$B$6+20),"dom","seg","ter","qua","qui","sex","sáb"),"")</x:f>
        <x:v>sex</x:v>
      </x:c>
      <x:c r="X4" s="76" t="str">
        <x:f>IF(MONTH('Configuração'!$B$6+21)=MONTH('Configuração'!$B$6),CHOOSE(WEEKDAY('Configuração'!$B$6+21),"dom","seg","ter","qua","qui","sex","sáb"),"")</x:f>
        <x:v>sáb</x:v>
      </x:c>
      <x:c r="Y4" s="76" t="str">
        <x:f>IF(MONTH('Configuração'!$B$6+22)=MONTH('Configuração'!$B$6),CHOOSE(WEEKDAY('Configuração'!$B$6+22),"dom","seg","ter","qua","qui","sex","sáb"),"")</x:f>
        <x:v>dom</x:v>
      </x:c>
      <x:c r="Z4" s="76" t="str">
        <x:f>IF(MONTH('Configuração'!$B$6+23)=MONTH('Configuração'!$B$6),CHOOSE(WEEKDAY('Configuração'!$B$6+23),"dom","seg","ter","qua","qui","sex","sáb"),"")</x:f>
        <x:v>seg</x:v>
      </x:c>
      <x:c r="AA4" s="76" t="str">
        <x:f>IF(MONTH('Configuração'!$B$6+24)=MONTH('Configuração'!$B$6),CHOOSE(WEEKDAY('Configuração'!$B$6+24),"dom","seg","ter","qua","qui","sex","sáb"),"")</x:f>
        <x:v>ter</x:v>
      </x:c>
      <x:c r="AB4" s="76" t="str">
        <x:f>IF(MONTH('Configuração'!$B$6+25)=MONTH('Configuração'!$B$6),CHOOSE(WEEKDAY('Configuração'!$B$6+25),"dom","seg","ter","qua","qui","sex","sáb"),"")</x:f>
        <x:v>qua</x:v>
      </x:c>
      <x:c r="AC4" s="76" t="str">
        <x:f>IF(MONTH('Configuração'!$B$6+26)=MONTH('Configuração'!$B$6),CHOOSE(WEEKDAY('Configuração'!$B$6+26),"dom","seg","ter","qua","qui","sex","sáb"),"")</x:f>
        <x:v>qui</x:v>
      </x:c>
      <x:c r="AD4" s="76" t="str">
        <x:f>IF(MONTH('Configuração'!$B$6+27)=MONTH('Configuração'!$B$6),CHOOSE(WEEKDAY('Configuração'!$B$6+27),"dom","seg","ter","qua","qui","sex","sáb"),"")</x:f>
        <x:v>sex</x:v>
      </x:c>
      <x:c r="AE4" s="76" t="str">
        <x:f>IF(MONTH('Configuração'!$B$6+28)=MONTH('Configuração'!$B$6),CHOOSE(WEEKDAY('Configuração'!$B$6+28),"dom","seg","ter","qua","qui","sex","sáb"),"")</x:f>
        <x:v>sáb</x:v>
      </x:c>
      <x:c r="AF4" s="76" t="str">
        <x:f>IF(MONTH('Configuração'!$B$6+29)=MONTH('Configuração'!$B$6),CHOOSE(WEEKDAY('Configuração'!$B$6+29),"dom","seg","ter","qua","qui","sex","sáb"),"")</x:f>
        <x:v>dom</x:v>
      </x:c>
      <x:c r="AG4" s="76" t="str">
        <x:f>IF(MONTH('Configuração'!$B$6+30)=MONTH('Configuração'!$B$6),CHOOSE(WEEKDAY('Configuração'!$B$6+30),"dom","seg","ter","qua","qui","sex","sáb"),"")</x:f>
        <x:v>seg</x:v>
      </x:c>
    </x:row>
    <x:row r="5" ht="28" customHeight="1">
      <x:c r="A5" s="56" t="str">
        <x:v>Hábito</x:v>
      </x:c>
      <x:c r="B5" s="64" t="str">
        <x:v>Meta</x:v>
      </x:c>
      <x:c r="C5" s="64" t="n">
        <x:v>1</x:v>
      </x:c>
      <x:c r="D5" s="64" t="n">
        <x:v>2</x:v>
      </x:c>
      <x:c r="E5" s="64" t="n">
        <x:v>3</x:v>
      </x:c>
      <x:c r="F5" s="64" t="n">
        <x:v>4</x:v>
      </x:c>
      <x:c r="G5" s="64" t="n">
        <x:v>5</x:v>
      </x:c>
      <x:c r="H5" s="64" t="n">
        <x:v>6</x:v>
      </x:c>
      <x:c r="I5" s="64" t="n">
        <x:v>7</x:v>
      </x:c>
      <x:c r="J5" s="64" t="n">
        <x:v>8</x:v>
      </x:c>
      <x:c r="K5" s="64" t="n">
        <x:v>9</x:v>
      </x:c>
      <x:c r="L5" s="64" t="n">
        <x:v>10</x:v>
      </x:c>
      <x:c r="M5" s="64" t="n">
        <x:v>11</x:v>
      </x:c>
      <x:c r="N5" s="64" t="n">
        <x:v>12</x:v>
      </x:c>
      <x:c r="O5" s="64" t="n">
        <x:v>13</x:v>
      </x:c>
      <x:c r="P5" s="64" t="n">
        <x:v>14</x:v>
      </x:c>
      <x:c r="Q5" s="64" t="n">
        <x:v>15</x:v>
      </x:c>
      <x:c r="R5" s="64" t="n">
        <x:v>16</x:v>
      </x:c>
      <x:c r="S5" s="64" t="n">
        <x:v>17</x:v>
      </x:c>
      <x:c r="T5" s="64" t="n">
        <x:v>18</x:v>
      </x:c>
      <x:c r="U5" s="64" t="n">
        <x:v>19</x:v>
      </x:c>
      <x:c r="V5" s="64" t="n">
        <x:v>20</x:v>
      </x:c>
      <x:c r="W5" s="64" t="n">
        <x:v>21</x:v>
      </x:c>
      <x:c r="X5" s="64" t="n">
        <x:v>22</x:v>
      </x:c>
      <x:c r="Y5" s="64" t="n">
        <x:v>23</x:v>
      </x:c>
      <x:c r="Z5" s="64" t="n">
        <x:v>24</x:v>
      </x:c>
      <x:c r="AA5" s="64" t="n">
        <x:v>25</x:v>
      </x:c>
      <x:c r="AB5" s="64" t="n">
        <x:v>26</x:v>
      </x:c>
      <x:c r="AC5" s="64" t="n">
        <x:v>27</x:v>
      </x:c>
      <x:c r="AD5" s="64" t="n">
        <x:v>28</x:v>
      </x:c>
      <x:c r="AE5" s="64" t="n">
        <x:v>29</x:v>
      </x:c>
      <x:c r="AF5" s="64" t="n">
        <x:v>30</x:v>
      </x:c>
      <x:c r="AG5" s="57" t="n">
        <x:v>31</x:v>
      </x:c>
    </x:row>
    <x:row r="6" ht="25" customHeight="1">
      <x:c r="A6" s="84" t="str">
        <x:f>'Configuração'!A10</x:f>
        <x:v>Água ao acordar</x:v>
      </x:c>
      <x:c r="B6" s="85" t="n">
        <x:f>'Configuração'!C10</x:f>
        <x:v>31</x:v>
      </x:c>
      <x:c r="C6" s="94"/>
      <x:c r="D6" s="94"/>
      <x:c r="E6" s="94"/>
      <x:c r="F6" s="94"/>
      <x:c r="G6" s="94"/>
      <x:c r="H6" s="94"/>
      <x:c r="I6" s="94"/>
      <x:c r="J6" s="94"/>
      <x:c r="K6" s="94"/>
      <x:c r="L6" s="94"/>
      <x:c r="M6" s="94"/>
      <x:c r="N6" s="94"/>
      <x:c r="O6" s="94"/>
      <x:c r="P6" s="94"/>
      <x:c r="Q6" s="94"/>
      <x:c r="R6" s="94"/>
      <x:c r="S6" s="94"/>
      <x:c r="T6" s="94"/>
      <x:c r="U6" s="94"/>
      <x:c r="V6" s="94"/>
      <x:c r="W6" s="94"/>
      <x:c r="X6" s="94"/>
      <x:c r="Y6" s="94"/>
      <x:c r="Z6" s="94"/>
      <x:c r="AA6" s="94"/>
      <x:c r="AB6" s="94"/>
      <x:c r="AC6" s="94"/>
      <x:c r="AD6" s="94"/>
      <x:c r="AE6" s="94"/>
      <x:c r="AF6" s="94"/>
      <x:c r="AG6" s="94"/>
    </x:row>
    <x:row r="7" ht="25" customHeight="1">
      <x:c r="A7" s="86" t="str">
        <x:f>'Configuração'!A11</x:f>
        <x:v>Movimento</x:v>
      </x:c>
      <x:c r="B7" s="87" t="n">
        <x:f>'Configuração'!C11</x:f>
        <x:v>20</x:v>
      </x:c>
      <x:c r="C7" s="94"/>
      <x:c r="D7" s="94"/>
      <x:c r="E7" s="94"/>
      <x:c r="F7" s="94"/>
      <x:c r="G7" s="94"/>
      <x:c r="H7" s="94"/>
      <x:c r="I7" s="94"/>
      <x:c r="J7" s="94"/>
      <x:c r="K7" s="94"/>
      <x:c r="L7" s="94"/>
      <x:c r="M7" s="94"/>
      <x:c r="N7" s="94"/>
      <x:c r="O7" s="94"/>
      <x:c r="P7" s="94"/>
      <x:c r="Q7" s="94"/>
      <x:c r="R7" s="94"/>
      <x:c r="S7" s="94"/>
      <x:c r="T7" s="94"/>
      <x:c r="U7" s="94"/>
      <x:c r="V7" s="94"/>
      <x:c r="W7" s="94"/>
      <x:c r="X7" s="94"/>
      <x:c r="Y7" s="94"/>
      <x:c r="Z7" s="94"/>
      <x:c r="AA7" s="94"/>
      <x:c r="AB7" s="94"/>
      <x:c r="AC7" s="94"/>
      <x:c r="AD7" s="94"/>
      <x:c r="AE7" s="94"/>
      <x:c r="AF7" s="94"/>
      <x:c r="AG7" s="94"/>
    </x:row>
    <x:row r="8" ht="25" customHeight="1">
      <x:c r="A8" s="86" t="str">
        <x:f>'Configuração'!A12</x:f>
        <x:v>Leitura</x:v>
      </x:c>
      <x:c r="B8" s="87" t="n">
        <x:f>'Configuração'!C12</x:f>
        <x:v>20</x:v>
      </x:c>
      <x:c r="C8" s="94"/>
      <x:c r="D8" s="94"/>
      <x:c r="E8" s="94"/>
      <x:c r="F8" s="94"/>
      <x:c r="G8" s="94"/>
      <x:c r="H8" s="94"/>
      <x:c r="I8" s="94"/>
      <x:c r="J8" s="94"/>
      <x:c r="K8" s="94"/>
      <x:c r="L8" s="94"/>
      <x:c r="M8" s="94"/>
      <x:c r="N8" s="94"/>
      <x:c r="O8" s="94"/>
      <x:c r="P8" s="94"/>
      <x:c r="Q8" s="94"/>
      <x:c r="R8" s="94"/>
      <x:c r="S8" s="94"/>
      <x:c r="T8" s="94"/>
      <x:c r="U8" s="94"/>
      <x:c r="V8" s="94"/>
      <x:c r="W8" s="94"/>
      <x:c r="X8" s="94"/>
      <x:c r="Y8" s="94"/>
      <x:c r="Z8" s="94"/>
      <x:c r="AA8" s="94"/>
      <x:c r="AB8" s="94"/>
      <x:c r="AC8" s="94"/>
      <x:c r="AD8" s="94"/>
      <x:c r="AE8" s="94"/>
      <x:c r="AF8" s="94"/>
      <x:c r="AG8" s="94"/>
    </x:row>
    <x:row r="9" ht="25" customHeight="1">
      <x:c r="A9" s="86" t="str">
        <x:f>'Configuração'!A13</x:f>
        <x:v>Planejar o dia</x:v>
      </x:c>
      <x:c r="B9" s="87" t="n">
        <x:f>'Configuração'!C13</x:f>
        <x:v>22</x:v>
      </x:c>
      <x:c r="C9" s="94"/>
      <x:c r="D9" s="94"/>
      <x:c r="E9" s="94"/>
      <x:c r="F9" s="94"/>
      <x:c r="G9" s="94"/>
      <x:c r="H9" s="94"/>
      <x:c r="I9" s="94"/>
      <x:c r="J9" s="94"/>
      <x:c r="K9" s="94"/>
      <x:c r="L9" s="94"/>
      <x:c r="M9" s="94"/>
      <x:c r="N9" s="94"/>
      <x:c r="O9" s="94"/>
      <x:c r="P9" s="94"/>
      <x:c r="Q9" s="94"/>
      <x:c r="R9" s="94"/>
      <x:c r="S9" s="94"/>
      <x:c r="T9" s="94"/>
      <x:c r="U9" s="94"/>
      <x:c r="V9" s="94"/>
      <x:c r="W9" s="94"/>
      <x:c r="X9" s="94"/>
      <x:c r="Y9" s="94"/>
      <x:c r="Z9" s="94"/>
      <x:c r="AA9" s="94"/>
      <x:c r="AB9" s="94"/>
      <x:c r="AC9" s="94"/>
      <x:c r="AD9" s="94"/>
      <x:c r="AE9" s="94"/>
      <x:c r="AF9" s="94"/>
      <x:c r="AG9" s="94"/>
    </x:row>
    <x:row r="10" ht="25" customHeight="1">
      <x:c r="A10" s="86" t="str">
        <x:f>'Configuração'!A14</x:f>
        <x:v>Pausa sem tela</x:v>
      </x:c>
      <x:c r="B10" s="87" t="n">
        <x:f>'Configuração'!C14</x:f>
        <x:v>25</x:v>
      </x:c>
      <x:c r="C10" s="94"/>
      <x:c r="D10" s="94"/>
      <x:c r="E10" s="94"/>
      <x:c r="F10" s="94"/>
      <x:c r="G10" s="94"/>
      <x:c r="H10" s="94"/>
      <x:c r="I10" s="94"/>
      <x:c r="J10" s="94"/>
      <x:c r="K10" s="94"/>
      <x:c r="L10" s="94"/>
      <x:c r="M10" s="94"/>
      <x:c r="N10" s="94"/>
      <x:c r="O10" s="94"/>
      <x:c r="P10" s="94"/>
      <x:c r="Q10" s="94"/>
      <x:c r="R10" s="94"/>
      <x:c r="S10" s="94"/>
      <x:c r="T10" s="94"/>
      <x:c r="U10" s="94"/>
      <x:c r="V10" s="94"/>
      <x:c r="W10" s="94"/>
      <x:c r="X10" s="94"/>
      <x:c r="Y10" s="94"/>
      <x:c r="Z10" s="94"/>
      <x:c r="AA10" s="94"/>
      <x:c r="AB10" s="94"/>
      <x:c r="AC10" s="94"/>
      <x:c r="AD10" s="94"/>
      <x:c r="AE10" s="94"/>
      <x:c r="AF10" s="94"/>
      <x:c r="AG10" s="94"/>
    </x:row>
    <x:row r="11" ht="25" customHeight="1">
      <x:c r="A11" s="86" t="str">
        <x:f>'Configuração'!A15</x:f>
        <x:v>Fechar o dia</x:v>
      </x:c>
      <x:c r="B11" s="87" t="n">
        <x:f>'Configuração'!C15</x:f>
        <x:v>22</x:v>
      </x:c>
      <x:c r="C11" s="94"/>
      <x:c r="D11" s="94"/>
      <x:c r="E11" s="94"/>
      <x:c r="F11" s="94"/>
      <x:c r="G11" s="94"/>
      <x:c r="H11" s="94"/>
      <x:c r="I11" s="94"/>
      <x:c r="J11" s="94"/>
      <x:c r="K11" s="94"/>
      <x:c r="L11" s="94"/>
      <x:c r="M11" s="94"/>
      <x:c r="N11" s="94"/>
      <x:c r="O11" s="94"/>
      <x:c r="P11" s="94"/>
      <x:c r="Q11" s="94"/>
      <x:c r="R11" s="94"/>
      <x:c r="S11" s="94"/>
      <x:c r="T11" s="94"/>
      <x:c r="U11" s="94"/>
      <x:c r="V11" s="94"/>
      <x:c r="W11" s="94"/>
      <x:c r="X11" s="94"/>
      <x:c r="Y11" s="94"/>
      <x:c r="Z11" s="94"/>
      <x:c r="AA11" s="94"/>
      <x:c r="AB11" s="94"/>
      <x:c r="AC11" s="94"/>
      <x:c r="AD11" s="94"/>
      <x:c r="AE11" s="94"/>
      <x:c r="AF11" s="94"/>
      <x:c r="AG11" s="94"/>
    </x:row>
    <x:row r="12" ht="25" customHeight="1">
      <x:c r="A12" s="86" t="str">
        <x:f>'Configuração'!A16</x:f>
        <x:v>Sono no horário</x:v>
      </x:c>
      <x:c r="B12" s="87" t="n">
        <x:f>'Configuração'!C16</x:f>
        <x:v>22</x:v>
      </x:c>
      <x:c r="C12" s="94"/>
      <x:c r="D12" s="94"/>
      <x:c r="E12" s="94"/>
      <x:c r="F12" s="94"/>
      <x:c r="G12" s="94"/>
      <x:c r="H12" s="94"/>
      <x:c r="I12" s="94"/>
      <x:c r="J12" s="94"/>
      <x:c r="K12" s="94"/>
      <x:c r="L12" s="94"/>
      <x:c r="M12" s="94"/>
      <x:c r="N12" s="94"/>
      <x:c r="O12" s="94"/>
      <x:c r="P12" s="94"/>
      <x:c r="Q12" s="94"/>
      <x:c r="R12" s="94"/>
      <x:c r="S12" s="94"/>
      <x:c r="T12" s="94"/>
      <x:c r="U12" s="94"/>
      <x:c r="V12" s="94"/>
      <x:c r="W12" s="94"/>
      <x:c r="X12" s="94"/>
      <x:c r="Y12" s="94"/>
      <x:c r="Z12" s="94"/>
      <x:c r="AA12" s="94"/>
      <x:c r="AB12" s="94"/>
      <x:c r="AC12" s="94"/>
      <x:c r="AD12" s="94"/>
      <x:c r="AE12" s="94"/>
      <x:c r="AF12" s="94"/>
      <x:c r="AG12" s="94"/>
    </x:row>
    <x:row r="13" ht="25" customHeight="1">
      <x:c r="A13" s="86" t="str">
        <x:f>'Configuração'!A17</x:f>
        <x:v>Estudo</x:v>
      </x:c>
      <x:c r="B13" s="87" t="n">
        <x:f>'Configuração'!C17</x:f>
        <x:v>12</x:v>
      </x:c>
      <x:c r="C13" s="94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  <x:c r="Q13" s="94"/>
      <x:c r="R13" s="94"/>
      <x:c r="S13" s="94"/>
      <x:c r="T13" s="94"/>
      <x:c r="U13" s="94"/>
      <x:c r="V13" s="94"/>
      <x:c r="W13" s="94"/>
      <x:c r="X13" s="94"/>
      <x:c r="Y13" s="94"/>
      <x:c r="Z13" s="94"/>
      <x:c r="AA13" s="94"/>
      <x:c r="AB13" s="94"/>
      <x:c r="AC13" s="94"/>
      <x:c r="AD13" s="94"/>
      <x:c r="AE13" s="94"/>
      <x:c r="AF13" s="94"/>
      <x:c r="AG13" s="94"/>
    </x:row>
    <x:row r="14" ht="25" customHeight="1">
      <x:c r="A14" s="86" t="str">
        <x:f>'Configuração'!A18</x:f>
        <x:v>Alongamento</x:v>
      </x:c>
      <x:c r="B14" s="87" t="n">
        <x:f>'Configuração'!C18</x:f>
        <x:v>20</x:v>
      </x:c>
      <x:c r="C14" s="94"/>
      <x:c r="D14" s="94"/>
      <x:c r="E14" s="94"/>
      <x:c r="F14" s="94"/>
      <x:c r="G14" s="94"/>
      <x:c r="H14" s="94"/>
      <x:c r="I14" s="94"/>
      <x:c r="J14" s="94"/>
      <x:c r="K14" s="94"/>
      <x:c r="L14" s="94"/>
      <x:c r="M14" s="94"/>
      <x:c r="N14" s="94"/>
      <x:c r="O14" s="94"/>
      <x:c r="P14" s="94"/>
      <x:c r="Q14" s="94"/>
      <x:c r="R14" s="94"/>
      <x:c r="S14" s="94"/>
      <x:c r="T14" s="94"/>
      <x:c r="U14" s="94"/>
      <x:c r="V14" s="94"/>
      <x:c r="W14" s="94"/>
      <x:c r="X14" s="94"/>
      <x:c r="Y14" s="94"/>
      <x:c r="Z14" s="94"/>
      <x:c r="AA14" s="94"/>
      <x:c r="AB14" s="94"/>
      <x:c r="AC14" s="94"/>
      <x:c r="AD14" s="94"/>
      <x:c r="AE14" s="94"/>
      <x:c r="AF14" s="94"/>
      <x:c r="AG14" s="94"/>
    </x:row>
    <x:row r="15" ht="25" customHeight="1">
      <x:c r="A15" s="86" t="str">
        <x:f>'Configuração'!A19</x:f>
        <x:v>Contato importante</x:v>
      </x:c>
      <x:c r="B15" s="87" t="n">
        <x:f>'Configuração'!C19</x:f>
        <x:v>8</x:v>
      </x:c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  <x:c r="T15" s="94"/>
      <x:c r="U15" s="94"/>
      <x:c r="V15" s="94"/>
      <x:c r="W15" s="94"/>
      <x:c r="X15" s="94"/>
      <x:c r="Y15" s="94"/>
      <x:c r="Z15" s="94"/>
      <x:c r="AA15" s="94"/>
      <x:c r="AB15" s="94"/>
      <x:c r="AC15" s="94"/>
      <x:c r="AD15" s="94"/>
      <x:c r="AE15" s="94"/>
      <x:c r="AF15" s="94"/>
      <x:c r="AG15" s="94"/>
    </x:row>
    <x:row r="16" ht="25" customHeight="1">
      <x:c r="A16" s="86" t="str">
        <x:f>'Configuração'!A20</x:f>
        <x:v>Organizar ambiente</x:v>
      </x:c>
      <x:c r="B16" s="87" t="n">
        <x:f>'Configuração'!C20</x:f>
        <x:v>12</x:v>
      </x:c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  <x:c r="T16" s="94"/>
      <x:c r="U16" s="94"/>
      <x:c r="V16" s="94"/>
      <x:c r="W16" s="94"/>
      <x:c r="X16" s="94"/>
      <x:c r="Y16" s="94"/>
      <x:c r="Z16" s="94"/>
      <x:c r="AA16" s="94"/>
      <x:c r="AB16" s="94"/>
      <x:c r="AC16" s="94"/>
      <x:c r="AD16" s="94"/>
      <x:c r="AE16" s="94"/>
      <x:c r="AF16" s="94"/>
      <x:c r="AG16" s="94"/>
    </x:row>
    <x:row r="17" ht="25" customHeight="1">
      <x:c r="A17" s="88" t="str">
        <x:f>'Configuração'!A21</x:f>
        <x:v>Reflexão curta</x:v>
      </x:c>
      <x:c r="B17" s="89" t="n">
        <x:f>'Configuração'!C21</x:f>
        <x:v>20</x:v>
      </x:c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  <x:c r="T17" s="94"/>
      <x:c r="U17" s="94"/>
      <x:c r="V17" s="94"/>
      <x:c r="W17" s="94"/>
      <x:c r="X17" s="94"/>
      <x:c r="Y17" s="94"/>
      <x:c r="Z17" s="94"/>
      <x:c r="AA17" s="94"/>
      <x:c r="AB17" s="94"/>
      <x:c r="AC17" s="94"/>
      <x:c r="AD17" s="94"/>
      <x:c r="AE17" s="94"/>
      <x:c r="AF17" s="94"/>
      <x:c r="AG17" s="94"/>
    </x:row>
  </x:sheetData>
  <x:mergeCells>
    <x:mergeCell ref="A1:AG2"/>
    <x:mergeCell ref="A3:AG3"/>
  </x:mergeCells>
  <x:conditionalFormatting sqref="C6:AG17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list" sqref="C6:AG17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38" customHeight="1">
      <x:c r="A1" s="4" t="str">
        <x:v>Relatório Mensal</x:v>
      </x:c>
      <x:c r="B1" s="4" t="str">
        <x:v>Relatório Mensal</x:v>
      </x:c>
      <x:c r="C1" s="4" t="str">
        <x:v>Relatório Mensal</x:v>
      </x:c>
      <x:c r="D1" s="4" t="str">
        <x:v>Relatório Mensal</x:v>
      </x:c>
      <x:c r="E1" s="4" t="str">
        <x:v>Relatório Mensal</x:v>
      </x:c>
      <x:c r="F1" s="4" t="str">
        <x:v>Relatório Mensal</x:v>
      </x:c>
      <x:c r="G1" s="4" t="str">
        <x:v>Relatório Mensal</x:v>
      </x:c>
      <x:c r="H1" s="4" t="str">
        <x:v>Relatório Mensal</x:v>
      </x:c>
      <x:c r="I1" s="4" t="str">
        <x:v>Relatório Mensal</x:v>
      </x:c>
      <x:c r="J1" s="4" t="str">
        <x:v>Relatório Mensal</x:v>
      </x:c>
      <x:c r="K1" s="4" t="str">
        <x:v>Relatório Mensal</x:v>
      </x:c>
      <x:c r="L1" s="4" t="str">
        <x:v>Relatório Mensal</x:v>
      </x:c>
    </x:row>
    <x:row r="2" ht="38" customHeight="1">
      <x:c r="A2" s="4" t="str">
        <x:v>Relatório Mensal</x:v>
      </x:c>
      <x:c r="B2" s="4" t="str">
        <x:v>Relatório Mensal</x:v>
      </x:c>
      <x:c r="C2" s="4" t="str">
        <x:v>Relatório Mensal</x:v>
      </x:c>
      <x:c r="D2" s="4" t="str">
        <x:v>Relatório Mensal</x:v>
      </x:c>
      <x:c r="E2" s="4" t="str">
        <x:v>Relatório Mensal</x:v>
      </x:c>
      <x:c r="F2" s="4" t="str">
        <x:v>Relatório Mensal</x:v>
      </x:c>
      <x:c r="G2" s="4" t="str">
        <x:v>Relatório Mensal</x:v>
      </x:c>
      <x:c r="H2" s="4" t="str">
        <x:v>Relatório Mensal</x:v>
      </x:c>
      <x:c r="I2" s="4" t="str">
        <x:v>Relatório Mensal</x:v>
      </x:c>
      <x:c r="J2" s="4" t="str">
        <x:v>Relatório Mensal</x:v>
      </x:c>
      <x:c r="K2" s="4" t="str">
        <x:v>Relatório Mensal</x:v>
      </x:c>
      <x:c r="L2" s="4" t="str">
        <x:v>Relatório Mensal</x:v>
      </x:c>
    </x:row>
    <x:row r="3" ht="30" customHeight="1">
      <x:c r="A3" s="8" t="str">
        <x:v>Resumo automático para identificar consistência, tendências e o melhor ajuste para o próximo mês.</x:v>
      </x:c>
      <x:c r="B3" s="8" t="str">
        <x:v>Resumo automático para identificar consistência, tendências e o melhor ajuste para o próximo mês.</x:v>
      </x:c>
      <x:c r="C3" s="8" t="str">
        <x:v>Resumo automático para identificar consistência, tendências e o melhor ajuste para o próximo mês.</x:v>
      </x:c>
      <x:c r="D3" s="8" t="str">
        <x:v>Resumo automático para identificar consistência, tendências e o melhor ajuste para o próximo mês.</x:v>
      </x:c>
      <x:c r="E3" s="8" t="str">
        <x:v>Resumo automático para identificar consistência, tendências e o melhor ajuste para o próximo mês.</x:v>
      </x:c>
      <x:c r="F3" s="8" t="str">
        <x:v>Resumo automático para identificar consistência, tendências e o melhor ajuste para o próximo mês.</x:v>
      </x:c>
      <x:c r="G3" s="8" t="str">
        <x:v>Resumo automático para identificar consistência, tendências e o melhor ajuste para o próximo mês.</x:v>
      </x:c>
      <x:c r="H3" s="8" t="str">
        <x:v>Resumo automático para identificar consistência, tendências e o melhor ajuste para o próximo mês.</x:v>
      </x:c>
      <x:c r="I3" s="8" t="str">
        <x:v>Resumo automático para identificar consistência, tendências e o melhor ajuste para o próximo mês.</x:v>
      </x:c>
      <x:c r="J3" s="8" t="str">
        <x:v>Resumo automático para identificar consistência, tendências e o melhor ajuste para o próximo mês.</x:v>
      </x:c>
      <x:c r="K3" s="8" t="str">
        <x:v>Resumo automático para identificar consistência, tendências e o melhor ajuste para o próximo mês.</x:v>
      </x:c>
      <x:c r="L3" s="8" t="str">
        <x:v>Resumo automático para identificar consistência, tendências e o melhor ajuste para o próximo mês.</x:v>
      </x:c>
    </x:row>
    <x:row r="5" ht="28" customHeight="1">
      <x:c r="A5" s="56" t="str">
        <x:v>Indicador</x:v>
      </x:c>
      <x:c r="B5" s="57" t="str">
        <x:v>Resultado</x:v>
      </x:c>
    </x:row>
    <x:row r="6">
      <x:c r="A6" s="14" t="str">
        <x:v>Mês</x:v>
      </x:c>
      <x:c r="B6" s="96" t="str">
        <x:f>'Configuração'!B7</x:f>
        <x:v>agosto 2026</x:v>
      </x:c>
    </x:row>
    <x:row r="7">
      <x:c r="A7" s="14" t="str">
        <x:v>Consistência geral</x:v>
      </x:c>
      <x:c r="B7" s="97" t="n">
        <x:f>IFERROR(COUNTIF('Rastreador Mensal'!C6:AG17,1)/COUNTA('Rastreador Mensal'!C6:AG17),0)</x:f>
        <x:v>0</x:v>
      </x:c>
    </x:row>
    <x:row r="8">
      <x:c r="A8" s="14" t="str">
        <x:v>Total de conclusões</x:v>
      </x:c>
      <x:c r="B8" s="96" t="n">
        <x:f>COUNTIF('Rastreador Mensal'!C6:AG17,1)</x:f>
        <x:v>0</x:v>
      </x:c>
    </x:row>
    <x:row r="10" ht="28" customHeight="1">
      <x:c r="A10" s="56" t="str">
        <x:v>Hábito</x:v>
      </x:c>
      <x:c r="B10" s="64" t="str">
        <x:v>Meta</x:v>
      </x:c>
      <x:c r="C10" s="64" t="str">
        <x:v>Concluído</x:v>
      </x:c>
      <x:c r="D10" s="57" t="str">
        <x:v>Consistência</x:v>
      </x:c>
      <x:c r="N10" t="str">
        <x:v>Hábito</x:v>
      </x:c>
      <x:c r="O10" t="str">
        <x:v>Consistência</x:v>
      </x:c>
    </x:row>
    <x:row r="11">
      <x:c r="A11" s="101" t="str">
        <x:f>'Configuração'!A10</x:f>
        <x:v>Água ao acordar</x:v>
      </x:c>
      <x:c r="B11" s="101" t="n">
        <x:f>'Configuração'!C10</x:f>
        <x:v>31</x:v>
      </x:c>
      <x:c r="C11" s="101" t="n">
        <x:f>COUNTIF('Rastreador Mensal'!C6:AG6,1)</x:f>
        <x:v>0</x:v>
      </x:c>
      <x:c r="D11" s="103" t="n">
        <x:f>IFERROR(C11/B11,0)</x:f>
        <x:v>0</x:v>
      </x:c>
      <x:c r="N11" t="str">
        <x:f>A11</x:f>
        <x:v>Água ao acordar</x:v>
      </x:c>
      <x:c r="O11" t="n">
        <x:f>D11</x:f>
        <x:v>0</x:v>
      </x:c>
    </x:row>
    <x:row r="12">
      <x:c r="A12" s="102" t="str">
        <x:f>'Configuração'!A11</x:f>
        <x:v>Movimento</x:v>
      </x:c>
      <x:c r="B12" s="102" t="n">
        <x:f>'Configuração'!C11</x:f>
        <x:v>20</x:v>
      </x:c>
      <x:c r="C12" s="102" t="n">
        <x:f>COUNTIF('Rastreador Mensal'!C7:AG7,1)</x:f>
        <x:v>0</x:v>
      </x:c>
      <x:c r="D12" s="104" t="n">
        <x:f>IFERROR(C12/B12,0)</x:f>
        <x:v>0</x:v>
      </x:c>
      <x:c r="N12" t="str">
        <x:f>A12</x:f>
        <x:v>Movimento</x:v>
      </x:c>
      <x:c r="O12" t="n">
        <x:f>D12</x:f>
        <x:v>0</x:v>
      </x:c>
    </x:row>
    <x:row r="13">
      <x:c r="A13" s="102" t="str">
        <x:f>'Configuração'!A12</x:f>
        <x:v>Leitura</x:v>
      </x:c>
      <x:c r="B13" s="102" t="n">
        <x:f>'Configuração'!C12</x:f>
        <x:v>20</x:v>
      </x:c>
      <x:c r="C13" s="102" t="n">
        <x:f>COUNTIF('Rastreador Mensal'!C8:AG8,1)</x:f>
        <x:v>0</x:v>
      </x:c>
      <x:c r="D13" s="104" t="n">
        <x:f>IFERROR(C13/B13,0)</x:f>
        <x:v>0</x:v>
      </x:c>
      <x:c r="N13" t="str">
        <x:f>A13</x:f>
        <x:v>Leitura</x:v>
      </x:c>
      <x:c r="O13" t="n">
        <x:f>D13</x:f>
        <x:v>0</x:v>
      </x:c>
    </x:row>
    <x:row r="14">
      <x:c r="A14" s="102" t="str">
        <x:f>'Configuração'!A13</x:f>
        <x:v>Planejar o dia</x:v>
      </x:c>
      <x:c r="B14" s="102" t="n">
        <x:f>'Configuração'!C13</x:f>
        <x:v>22</x:v>
      </x:c>
      <x:c r="C14" s="102" t="n">
        <x:f>COUNTIF('Rastreador Mensal'!C9:AG9,1)</x:f>
        <x:v>0</x:v>
      </x:c>
      <x:c r="D14" s="104" t="n">
        <x:f>IFERROR(C14/B14,0)</x:f>
        <x:v>0</x:v>
      </x:c>
      <x:c r="N14" t="str">
        <x:f>A14</x:f>
        <x:v>Planejar o dia</x:v>
      </x:c>
      <x:c r="O14" t="n">
        <x:f>D14</x:f>
        <x:v>0</x:v>
      </x:c>
    </x:row>
    <x:row r="15">
      <x:c r="A15" s="102" t="str">
        <x:f>'Configuração'!A14</x:f>
        <x:v>Pausa sem tela</x:v>
      </x:c>
      <x:c r="B15" s="102" t="n">
        <x:f>'Configuração'!C14</x:f>
        <x:v>25</x:v>
      </x:c>
      <x:c r="C15" s="102" t="n">
        <x:f>COUNTIF('Rastreador Mensal'!C10:AG10,1)</x:f>
        <x:v>0</x:v>
      </x:c>
      <x:c r="D15" s="104" t="n">
        <x:f>IFERROR(C15/B15,0)</x:f>
        <x:v>0</x:v>
      </x:c>
      <x:c r="N15" t="str">
        <x:f>A15</x:f>
        <x:v>Pausa sem tela</x:v>
      </x:c>
      <x:c r="O15" t="n">
        <x:f>D15</x:f>
        <x:v>0</x:v>
      </x:c>
    </x:row>
    <x:row r="16">
      <x:c r="A16" s="102" t="str">
        <x:f>'Configuração'!A15</x:f>
        <x:v>Fechar o dia</x:v>
      </x:c>
      <x:c r="B16" s="102" t="n">
        <x:f>'Configuração'!C15</x:f>
        <x:v>22</x:v>
      </x:c>
      <x:c r="C16" s="102" t="n">
        <x:f>COUNTIF('Rastreador Mensal'!C11:AG11,1)</x:f>
        <x:v>0</x:v>
      </x:c>
      <x:c r="D16" s="104" t="n">
        <x:f>IFERROR(C16/B16,0)</x:f>
        <x:v>0</x:v>
      </x:c>
      <x:c r="N16" t="str">
        <x:f>A16</x:f>
        <x:v>Fechar o dia</x:v>
      </x:c>
      <x:c r="O16" t="n">
        <x:f>D16</x:f>
        <x:v>0</x:v>
      </x:c>
    </x:row>
    <x:row r="17">
      <x:c r="A17" s="102" t="str">
        <x:f>'Configuração'!A16</x:f>
        <x:v>Sono no horário</x:v>
      </x:c>
      <x:c r="B17" s="102" t="n">
        <x:f>'Configuração'!C16</x:f>
        <x:v>22</x:v>
      </x:c>
      <x:c r="C17" s="102" t="n">
        <x:f>COUNTIF('Rastreador Mensal'!C12:AG12,1)</x:f>
        <x:v>0</x:v>
      </x:c>
      <x:c r="D17" s="104" t="n">
        <x:f>IFERROR(C17/B17,0)</x:f>
        <x:v>0</x:v>
      </x:c>
      <x:c r="N17" t="str">
        <x:f>A17</x:f>
        <x:v>Sono no horário</x:v>
      </x:c>
      <x:c r="O17" t="n">
        <x:f>D17</x:f>
        <x:v>0</x:v>
      </x:c>
    </x:row>
    <x:row r="18">
      <x:c r="A18" s="102" t="str">
        <x:f>'Configuração'!A17</x:f>
        <x:v>Estudo</x:v>
      </x:c>
      <x:c r="B18" s="102" t="n">
        <x:f>'Configuração'!C17</x:f>
        <x:v>12</x:v>
      </x:c>
      <x:c r="C18" s="102" t="n">
        <x:f>COUNTIF('Rastreador Mensal'!C13:AG13,1)</x:f>
        <x:v>0</x:v>
      </x:c>
      <x:c r="D18" s="104" t="n">
        <x:f>IFERROR(C18/B18,0)</x:f>
        <x:v>0</x:v>
      </x:c>
      <x:c r="N18" t="str">
        <x:f>A18</x:f>
        <x:v>Estudo</x:v>
      </x:c>
      <x:c r="O18" t="n">
        <x:f>D18</x:f>
        <x:v>0</x:v>
      </x:c>
    </x:row>
    <x:row r="19">
      <x:c r="A19" s="102" t="str">
        <x:f>'Configuração'!A18</x:f>
        <x:v>Alongamento</x:v>
      </x:c>
      <x:c r="B19" s="102" t="n">
        <x:f>'Configuração'!C18</x:f>
        <x:v>20</x:v>
      </x:c>
      <x:c r="C19" s="102" t="n">
        <x:f>COUNTIF('Rastreador Mensal'!C14:AG14,1)</x:f>
        <x:v>0</x:v>
      </x:c>
      <x:c r="D19" s="104" t="n">
        <x:f>IFERROR(C19/B19,0)</x:f>
        <x:v>0</x:v>
      </x:c>
      <x:c r="N19" t="str">
        <x:f>A19</x:f>
        <x:v>Alongamento</x:v>
      </x:c>
      <x:c r="O19" t="n">
        <x:f>D19</x:f>
        <x:v>0</x:v>
      </x:c>
    </x:row>
    <x:row r="20">
      <x:c r="A20" s="102" t="str">
        <x:f>'Configuração'!A19</x:f>
        <x:v>Contato importante</x:v>
      </x:c>
      <x:c r="B20" s="102" t="n">
        <x:f>'Configuração'!C19</x:f>
        <x:v>8</x:v>
      </x:c>
      <x:c r="C20" s="102" t="n">
        <x:f>COUNTIF('Rastreador Mensal'!C15:AG15,1)</x:f>
        <x:v>0</x:v>
      </x:c>
      <x:c r="D20" s="104" t="n">
        <x:f>IFERROR(C20/B20,0)</x:f>
        <x:v>0</x:v>
      </x:c>
      <x:c r="N20" t="str">
        <x:f>A20</x:f>
        <x:v>Contato importante</x:v>
      </x:c>
      <x:c r="O20" t="n">
        <x:f>D20</x:f>
        <x:v>0</x:v>
      </x:c>
    </x:row>
    <x:row r="21">
      <x:c r="A21" s="102" t="str">
        <x:f>'Configuração'!A20</x:f>
        <x:v>Organizar ambiente</x:v>
      </x:c>
      <x:c r="B21" s="102" t="n">
        <x:f>'Configuração'!C20</x:f>
        <x:v>12</x:v>
      </x:c>
      <x:c r="C21" s="102" t="n">
        <x:f>COUNTIF('Rastreador Mensal'!C16:AG16,1)</x:f>
        <x:v>0</x:v>
      </x:c>
      <x:c r="D21" s="104" t="n">
        <x:f>IFERROR(C21/B21,0)</x:f>
        <x:v>0</x:v>
      </x:c>
      <x:c r="N21" t="str">
        <x:f>A21</x:f>
        <x:v>Organizar ambiente</x:v>
      </x:c>
      <x:c r="O21" t="n">
        <x:f>D21</x:f>
        <x:v>0</x:v>
      </x:c>
    </x:row>
    <x:row r="22">
      <x:c r="A22" s="102" t="str">
        <x:f>'Configuração'!A21</x:f>
        <x:v>Reflexão curta</x:v>
      </x:c>
      <x:c r="B22" s="102" t="n">
        <x:f>'Configuração'!C21</x:f>
        <x:v>20</x:v>
      </x:c>
      <x:c r="C22" s="102" t="n">
        <x:f>COUNTIF('Rastreador Mensal'!C17:AG17,1)</x:f>
        <x:v>0</x:v>
      </x:c>
      <x:c r="D22" s="104" t="n">
        <x:f>IFERROR(C22/B22,0)</x:f>
        <x:v>0</x:v>
      </x:c>
      <x:c r="N22" t="str">
        <x:f>A22</x:f>
        <x:v>Reflexão curta</x:v>
      </x:c>
      <x:c r="O22" t="n">
        <x:f>D22</x:f>
        <x:v>0</x:v>
      </x:c>
    </x:row>
    <x:row r="25">
      <x:c r="N25" t="str">
        <x:v>Dia</x:v>
      </x:c>
      <x:c r="O25" t="str">
        <x:v>Conclusões</x:v>
      </x:c>
    </x:row>
    <x:row r="26">
      <x:c r="N26" t="n">
        <x:v>1</x:v>
      </x:c>
      <x:c r="O26" t="n">
        <x:f>COUNTIF('Rastreador Mensal'!C6:C17,1)</x:f>
        <x:v>0</x:v>
      </x:c>
    </x:row>
    <x:row r="27">
      <x:c r="N27" t="n">
        <x:v>2</x:v>
      </x:c>
      <x:c r="O27" t="n">
        <x:f>COUNTIF('Rastreador Mensal'!D6:D17,1)</x:f>
        <x:v>0</x:v>
      </x:c>
    </x:row>
    <x:row r="28">
      <x:c r="N28" t="n">
        <x:v>3</x:v>
      </x:c>
      <x:c r="O28" t="n">
        <x:f>COUNTIF('Rastreador Mensal'!E6:E17,1)</x:f>
        <x:v>0</x:v>
      </x:c>
    </x:row>
    <x:row r="29">
      <x:c r="N29" t="n">
        <x:v>4</x:v>
      </x:c>
      <x:c r="O29" t="n">
        <x:f>COUNTIF('Rastreador Mensal'!F6:F17,1)</x:f>
        <x:v>0</x:v>
      </x:c>
    </x:row>
    <x:row r="30">
      <x:c r="N30" t="n">
        <x:v>5</x:v>
      </x:c>
      <x:c r="O30" t="n">
        <x:f>COUNTIF('Rastreador Mensal'!G6:G17,1)</x:f>
        <x:v>0</x:v>
      </x:c>
    </x:row>
    <x:row r="31">
      <x:c r="N31" t="n">
        <x:v>6</x:v>
      </x:c>
      <x:c r="O31" t="n">
        <x:f>COUNTIF('Rastreador Mensal'!H6:H17,1)</x:f>
        <x:v>0</x:v>
      </x:c>
    </x:row>
    <x:row r="32">
      <x:c r="N32" t="n">
        <x:v>7</x:v>
      </x:c>
      <x:c r="O32" t="n">
        <x:f>COUNTIF('Rastreador Mensal'!I6:I17,1)</x:f>
        <x:v>0</x:v>
      </x:c>
    </x:row>
    <x:row r="33">
      <x:c r="N33" t="n">
        <x:v>8</x:v>
      </x:c>
      <x:c r="O33" t="n">
        <x:f>COUNTIF('Rastreador Mensal'!J6:J17,1)</x:f>
        <x:v>0</x:v>
      </x:c>
    </x:row>
    <x:row r="34">
      <x:c r="N34" t="n">
        <x:v>9</x:v>
      </x:c>
      <x:c r="O34" t="n">
        <x:f>COUNTIF('Rastreador Mensal'!K6:K17,1)</x:f>
        <x:v>0</x:v>
      </x:c>
    </x:row>
    <x:row r="35">
      <x:c r="N35" t="n">
        <x:v>10</x:v>
      </x:c>
      <x:c r="O35" t="n">
        <x:f>COUNTIF('Rastreador Mensal'!L6:L17,1)</x:f>
        <x:v>0</x:v>
      </x:c>
    </x:row>
    <x:row r="36">
      <x:c r="N36" t="n">
        <x:v>11</x:v>
      </x:c>
      <x:c r="O36" t="n">
        <x:f>COUNTIF('Rastreador Mensal'!M6:M17,1)</x:f>
        <x:v>0</x:v>
      </x:c>
    </x:row>
    <x:row r="37">
      <x:c r="N37" t="n">
        <x:v>12</x:v>
      </x:c>
      <x:c r="O37" t="n">
        <x:f>COUNTIF('Rastreador Mensal'!N6:N17,1)</x:f>
        <x:v>0</x:v>
      </x:c>
    </x:row>
    <x:row r="38">
      <x:c r="N38" t="n">
        <x:v>13</x:v>
      </x:c>
      <x:c r="O38" t="n">
        <x:f>COUNTIF('Rastreador Mensal'!O6:O17,1)</x:f>
        <x:v>0</x:v>
      </x:c>
    </x:row>
    <x:row r="39">
      <x:c r="N39" t="n">
        <x:v>14</x:v>
      </x:c>
      <x:c r="O39" t="n">
        <x:f>COUNTIF('Rastreador Mensal'!P6:P17,1)</x:f>
        <x:v>0</x:v>
      </x:c>
    </x:row>
    <x:row r="40">
      <x:c r="N40" t="n">
        <x:v>15</x:v>
      </x:c>
      <x:c r="O40" t="n">
        <x:f>COUNTIF('Rastreador Mensal'!Q6:Q17,1)</x:f>
        <x:v>0</x:v>
      </x:c>
    </x:row>
    <x:row r="41">
      <x:c r="N41" t="n">
        <x:v>16</x:v>
      </x:c>
      <x:c r="O41" t="n">
        <x:f>COUNTIF('Rastreador Mensal'!R6:R17,1)</x:f>
        <x:v>0</x:v>
      </x:c>
    </x:row>
    <x:row r="42">
      <x:c r="N42" t="n">
        <x:v>17</x:v>
      </x:c>
      <x:c r="O42" t="n">
        <x:f>COUNTIF('Rastreador Mensal'!S6:S17,1)</x:f>
        <x:v>0</x:v>
      </x:c>
    </x:row>
    <x:row r="43">
      <x:c r="N43" t="n">
        <x:v>18</x:v>
      </x:c>
      <x:c r="O43" t="n">
        <x:f>COUNTIF('Rastreador Mensal'!T6:T17,1)</x:f>
        <x:v>0</x:v>
      </x:c>
    </x:row>
    <x:row r="44">
      <x:c r="N44" t="n">
        <x:v>19</x:v>
      </x:c>
      <x:c r="O44" t="n">
        <x:f>COUNTIF('Rastreador Mensal'!U6:U17,1)</x:f>
        <x:v>0</x:v>
      </x:c>
    </x:row>
    <x:row r="45">
      <x:c r="N45" t="n">
        <x:v>20</x:v>
      </x:c>
      <x:c r="O45" t="n">
        <x:f>COUNTIF('Rastreador Mensal'!V6:V17,1)</x:f>
        <x:v>0</x:v>
      </x:c>
    </x:row>
    <x:row r="46">
      <x:c r="N46" t="n">
        <x:v>21</x:v>
      </x:c>
      <x:c r="O46" t="n">
        <x:f>COUNTIF('Rastreador Mensal'!W6:W17,1)</x:f>
        <x:v>0</x:v>
      </x:c>
    </x:row>
    <x:row r="47">
      <x:c r="N47" t="n">
        <x:v>22</x:v>
      </x:c>
      <x:c r="O47" t="n">
        <x:f>COUNTIF('Rastreador Mensal'!X6:X17,1)</x:f>
        <x:v>0</x:v>
      </x:c>
    </x:row>
    <x:row r="48">
      <x:c r="N48" t="n">
        <x:v>23</x:v>
      </x:c>
      <x:c r="O48" t="n">
        <x:f>COUNTIF('Rastreador Mensal'!Y6:Y17,1)</x:f>
        <x:v>0</x:v>
      </x:c>
    </x:row>
    <x:row r="49">
      <x:c r="N49" t="n">
        <x:v>24</x:v>
      </x:c>
      <x:c r="O49" t="n">
        <x:f>COUNTIF('Rastreador Mensal'!Z6:Z17,1)</x:f>
        <x:v>0</x:v>
      </x:c>
    </x:row>
    <x:row r="50">
      <x:c r="N50" t="n">
        <x:v>25</x:v>
      </x:c>
      <x:c r="O50" t="n">
        <x:f>COUNTIF('Rastreador Mensal'!AA6:AA17,1)</x:f>
        <x:v>0</x:v>
      </x:c>
    </x:row>
    <x:row r="51">
      <x:c r="N51" t="n">
        <x:v>26</x:v>
      </x:c>
      <x:c r="O51" t="n">
        <x:f>COUNTIF('Rastreador Mensal'!AB6:AB17,1)</x:f>
        <x:v>0</x:v>
      </x:c>
    </x:row>
    <x:row r="52">
      <x:c r="N52" t="n">
        <x:v>27</x:v>
      </x:c>
      <x:c r="O52" t="n">
        <x:f>COUNTIF('Rastreador Mensal'!AC6:AC17,1)</x:f>
        <x:v>0</x:v>
      </x:c>
    </x:row>
    <x:row r="53">
      <x:c r="N53" t="n">
        <x:v>28</x:v>
      </x:c>
      <x:c r="O53" t="n">
        <x:f>COUNTIF('Rastreador Mensal'!AD6:AD17,1)</x:f>
        <x:v>0</x:v>
      </x:c>
    </x:row>
    <x:row r="54">
      <x:c r="N54" t="n">
        <x:v>29</x:v>
      </x:c>
      <x:c r="O54" t="n">
        <x:f>COUNTIF('Rastreador Mensal'!AE6:AE17,1)</x:f>
        <x:v>0</x:v>
      </x:c>
    </x:row>
    <x:row r="55">
      <x:c r="N55" t="n">
        <x:v>30</x:v>
      </x:c>
      <x:c r="O55" t="n">
        <x:f>COUNTIF('Rastreador Mensal'!AF6:AF17,1)</x:f>
        <x:v>0</x:v>
      </x:c>
    </x:row>
    <x:row r="56">
      <x:c r="N56" t="n">
        <x:v>31</x:v>
      </x:c>
      <x:c r="O56" t="n">
        <x:f>COUNTIF('Rastreador Mensal'!AG6:AG17,1)</x:f>
        <x:v>0</x:v>
      </x:c>
    </x:row>
  </x:sheetData>
  <x:mergeCells>
    <x:mergeCell ref="A1:L2"/>
    <x:mergeCell ref="A3:L3"/>
  </x:mergeCells>
  <x:pageMargins left="0.7" right="0.7" top="0.75" bottom="0.75" header="0.3" footer="0.3"/>
  <x:drawing xmlns:r="http://schemas.openxmlformats.org/officeDocument/2006/relationships" r:id="R614d8965ec1f48f0"/>
</x:worksheet>
</file>